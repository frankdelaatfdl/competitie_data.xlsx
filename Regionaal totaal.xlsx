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5c81162f445715/Dokumente/Reginaal/"/>
    </mc:Choice>
  </mc:AlternateContent>
  <xr:revisionPtr revIDLastSave="0" documentId="8_{2FB6BA31-4384-49FC-ACD3-84EEE765E14A}" xr6:coauthVersionLast="47" xr6:coauthVersionMax="47" xr10:uidLastSave="{00000000-0000-0000-0000-000000000000}"/>
  <bookViews>
    <workbookView xWindow="2280" yWindow="2490" windowWidth="21600" windowHeight="11295" activeTab="3" xr2:uid="{7B7C0E1D-A123-41AF-AD6D-AC4BF366C857}"/>
  </bookViews>
  <sheets>
    <sheet name="1ste helf" sheetId="1" r:id="rId1"/>
    <sheet name="2de Helf" sheetId="2" r:id="rId2"/>
    <sheet name="uitslag en stand" sheetId="3" r:id="rId3"/>
    <sheet name="carb volgend jaar" sheetId="4" r:id="rId4"/>
  </sheets>
  <externalReferences>
    <externalReference r:id="rId5"/>
  </externalReferences>
  <definedNames>
    <definedName name="Rijen_1">'1ste helf'!$G$9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4" l="1"/>
  <c r="AB29" i="4"/>
  <c r="AB28" i="4"/>
  <c r="AB27" i="4"/>
  <c r="AB26" i="4"/>
  <c r="AB25" i="4"/>
  <c r="AB24" i="4"/>
  <c r="AB23" i="4"/>
  <c r="AC23" i="4" s="1"/>
  <c r="AB22" i="4"/>
  <c r="AC22" i="4" s="1"/>
  <c r="AD22" i="4" s="1"/>
  <c r="AE22" i="4" s="1"/>
  <c r="AF22" i="4" s="1"/>
  <c r="AH22" i="4" s="1"/>
  <c r="AB21" i="4"/>
  <c r="AB20" i="4"/>
  <c r="AB15" i="4"/>
  <c r="AB14" i="4"/>
  <c r="AB13" i="4"/>
  <c r="AB12" i="4"/>
  <c r="AB11" i="4"/>
  <c r="AB10" i="4"/>
  <c r="AB8" i="4"/>
  <c r="AB7" i="4"/>
  <c r="AB6" i="4"/>
  <c r="AC6" i="4" s="1"/>
  <c r="AB5" i="4"/>
  <c r="AB4" i="4"/>
  <c r="AC4" i="4" s="1"/>
  <c r="AD4" i="4" s="1"/>
  <c r="AE4" i="4" s="1"/>
  <c r="AF4" i="4" s="1"/>
  <c r="AH4" i="4" s="1"/>
  <c r="AB3" i="4"/>
  <c r="AD13" i="4" l="1"/>
  <c r="AE13" i="4" s="1"/>
  <c r="AF13" i="4" s="1"/>
  <c r="AH13" i="4" s="1"/>
  <c r="AD25" i="4"/>
  <c r="AE25" i="4" s="1"/>
  <c r="AF25" i="4" s="1"/>
  <c r="AH25" i="4" s="1"/>
  <c r="AD14" i="4"/>
  <c r="AE14" i="4" s="1"/>
  <c r="AF14" i="4" s="1"/>
  <c r="AH14" i="4" s="1"/>
  <c r="AD20" i="4"/>
  <c r="AE20" i="4" s="1"/>
  <c r="AF20" i="4" s="1"/>
  <c r="AH20" i="4" s="1"/>
  <c r="AD28" i="4"/>
  <c r="AE28" i="4" s="1"/>
  <c r="AF28" i="4" s="1"/>
  <c r="AH28" i="4" s="1"/>
  <c r="AD11" i="4"/>
  <c r="AE11" i="4" s="1"/>
  <c r="AF11" i="4" s="1"/>
  <c r="AH11" i="4" s="1"/>
  <c r="AD15" i="4"/>
  <c r="AE15" i="4" s="1"/>
  <c r="AF15" i="4" s="1"/>
  <c r="AH15" i="4" s="1"/>
  <c r="AD8" i="4"/>
  <c r="AE8" i="4" s="1"/>
  <c r="AF8" i="4" s="1"/>
  <c r="AH8" i="4" s="1"/>
  <c r="AD6" i="4"/>
  <c r="AE6" i="4" s="1"/>
  <c r="AF6" i="4" s="1"/>
  <c r="AH6" i="4" s="1"/>
  <c r="AD23" i="4"/>
  <c r="AE23" i="4" s="1"/>
  <c r="AF23" i="4" s="1"/>
  <c r="AH23" i="4" s="1"/>
  <c r="AC5" i="4"/>
  <c r="AD5" i="4" s="1"/>
  <c r="AE5" i="4" s="1"/>
  <c r="AF5" i="4" s="1"/>
  <c r="AH5" i="4" s="1"/>
  <c r="AC10" i="4"/>
  <c r="AD10" i="4" s="1"/>
  <c r="AE10" i="4" s="1"/>
  <c r="AF10" i="4" s="1"/>
  <c r="AH10" i="4" s="1"/>
  <c r="AC14" i="4"/>
  <c r="AC26" i="4"/>
  <c r="AD26" i="4" s="1"/>
  <c r="AE26" i="4" s="1"/>
  <c r="AF26" i="4" s="1"/>
  <c r="AH26" i="4" s="1"/>
  <c r="AC8" i="4"/>
  <c r="AC13" i="4"/>
  <c r="AC21" i="4"/>
  <c r="AD21" i="4" s="1"/>
  <c r="AE21" i="4" s="1"/>
  <c r="AF21" i="4" s="1"/>
  <c r="AH21" i="4" s="1"/>
  <c r="AC25" i="4"/>
  <c r="AC29" i="4"/>
  <c r="AD29" i="4" s="1"/>
  <c r="AE29" i="4" s="1"/>
  <c r="AF29" i="4" s="1"/>
  <c r="AH29" i="4" s="1"/>
  <c r="AC3" i="4"/>
  <c r="AD3" i="4" s="1"/>
  <c r="AE3" i="4" s="1"/>
  <c r="AF3" i="4" s="1"/>
  <c r="AH3" i="4" s="1"/>
  <c r="AC7" i="4"/>
  <c r="AD7" i="4" s="1"/>
  <c r="AE7" i="4" s="1"/>
  <c r="AF7" i="4" s="1"/>
  <c r="AH7" i="4" s="1"/>
  <c r="AC12" i="4"/>
  <c r="AD12" i="4" s="1"/>
  <c r="AE12" i="4" s="1"/>
  <c r="AF12" i="4" s="1"/>
  <c r="AH12" i="4" s="1"/>
  <c r="AC20" i="4"/>
  <c r="AC24" i="4"/>
  <c r="AD24" i="4" s="1"/>
  <c r="AE24" i="4" s="1"/>
  <c r="AF24" i="4" s="1"/>
  <c r="AH24" i="4" s="1"/>
  <c r="AC28" i="4"/>
  <c r="AC11" i="4"/>
  <c r="AC15" i="4"/>
  <c r="AC27" i="4"/>
  <c r="AD27" i="4" s="1"/>
  <c r="AE27" i="4" s="1"/>
  <c r="AF27" i="4" s="1"/>
  <c r="AH27" i="4" s="1"/>
  <c r="E28" i="3" l="1"/>
  <c r="E27" i="3"/>
  <c r="E26" i="3"/>
  <c r="E25" i="3"/>
  <c r="E24" i="3"/>
  <c r="E23" i="3"/>
  <c r="E22" i="3"/>
  <c r="E21" i="3"/>
  <c r="E20" i="3"/>
  <c r="E19" i="3"/>
  <c r="E18" i="3"/>
  <c r="E17" i="3"/>
  <c r="E16" i="3"/>
</calcChain>
</file>

<file path=xl/sharedStrings.xml><?xml version="1.0" encoding="utf-8"?>
<sst xmlns="http://schemas.openxmlformats.org/spreadsheetml/2006/main" count="636" uniqueCount="89">
  <si>
    <t>1e helft</t>
  </si>
  <si>
    <t>Riel 1</t>
  </si>
  <si>
    <t>Gilze 1</t>
  </si>
  <si>
    <t>Chaam 1</t>
  </si>
  <si>
    <t>Bavel 1</t>
  </si>
  <si>
    <t>Baarle 1</t>
  </si>
  <si>
    <t>Alphen 1</t>
  </si>
  <si>
    <t>Riel 2</t>
  </si>
  <si>
    <t>Gilze 2</t>
  </si>
  <si>
    <t>Rijen 1</t>
  </si>
  <si>
    <t>Bavel 2</t>
  </si>
  <si>
    <t>Baarle 2</t>
  </si>
  <si>
    <t>Alphen 2</t>
  </si>
  <si>
    <t>Vrij</t>
  </si>
  <si>
    <t xml:space="preserve">Vrij </t>
  </si>
  <si>
    <t xml:space="preserve"> </t>
  </si>
  <si>
    <t xml:space="preserve">Riel 2 </t>
  </si>
  <si>
    <t>Chaam 2</t>
  </si>
  <si>
    <t>Week</t>
  </si>
  <si>
    <t>KOT 1</t>
  </si>
  <si>
    <t>Regionalebiljartcompetitie voor W-groepen en K.B.O.Groepen 2026-2027</t>
  </si>
  <si>
    <t xml:space="preserve">             BAARLE speelt THUIS om 10.00 </t>
  </si>
  <si>
    <t>Let op: Chaam Teams spelen  altijd op Maandagen Thuis</t>
  </si>
  <si>
    <t>2e helft</t>
  </si>
  <si>
    <t>Carnaval op 7-9 febr.</t>
  </si>
  <si>
    <t>Koningsdag 27 april</t>
  </si>
  <si>
    <t>Pasen 28-29 maart</t>
  </si>
  <si>
    <t>Uitslag</t>
  </si>
  <si>
    <t>thuis</t>
  </si>
  <si>
    <t>uit</t>
  </si>
  <si>
    <t>Stand thuis</t>
  </si>
  <si>
    <t>stand uit</t>
  </si>
  <si>
    <t>vrij</t>
  </si>
  <si>
    <t xml:space="preserve">               -   </t>
  </si>
  <si>
    <t xml:space="preserve">               -   </t>
  </si>
  <si>
    <t xml:space="preserve">          48,92 </t>
  </si>
  <si>
    <t xml:space="preserve">          55,44 </t>
  </si>
  <si>
    <t xml:space="preserve">          55,25 </t>
  </si>
  <si>
    <t xml:space="preserve">          46,15 </t>
  </si>
  <si>
    <t xml:space="preserve">          56,34 </t>
  </si>
  <si>
    <t xml:space="preserve">          46,20 </t>
  </si>
  <si>
    <t xml:space="preserve">          49,00 </t>
  </si>
  <si>
    <t xml:space="preserve">          54,17 </t>
  </si>
  <si>
    <t>Stand Regionale Biljartcompetitie 2026-2027</t>
  </si>
  <si>
    <t>NR</t>
  </si>
  <si>
    <t>Team</t>
  </si>
  <si>
    <t xml:space="preserve">Gespeeld </t>
  </si>
  <si>
    <t>Punten</t>
  </si>
  <si>
    <t>Punten verschil met nr 1</t>
  </si>
  <si>
    <t xml:space="preserve">               30 </t>
  </si>
  <si>
    <t xml:space="preserve">               30 </t>
  </si>
  <si>
    <t xml:space="preserve">               24 </t>
  </si>
  <si>
    <t xml:space="preserve">               18 </t>
  </si>
  <si>
    <t>Speel datum</t>
  </si>
  <si>
    <t xml:space="preserve">Moyenne </t>
  </si>
  <si>
    <t>5% van Moyenne</t>
  </si>
  <si>
    <t>Moyenne met 5%</t>
  </si>
  <si>
    <t>Caramboles volgend pijlpunt</t>
  </si>
  <si>
    <t>naar beneden afgerond</t>
  </si>
  <si>
    <t>Caramboles nu</t>
  </si>
  <si>
    <t>Verschil</t>
  </si>
  <si>
    <t>Naam Speler 1ste</t>
  </si>
  <si>
    <t>Behaald moyenne</t>
  </si>
  <si>
    <t>Jan Onincx</t>
  </si>
  <si>
    <t>Kees de Craen</t>
  </si>
  <si>
    <t>Toon Onincx</t>
  </si>
  <si>
    <t>Frank de Laat</t>
  </si>
  <si>
    <t>Jan Smulders</t>
  </si>
  <si>
    <t>Ben Kokx</t>
  </si>
  <si>
    <t>Naam Speler 2de</t>
  </si>
  <si>
    <t>Christ Jansen</t>
  </si>
  <si>
    <t>Harrie van der Mast</t>
  </si>
  <si>
    <t>Harrie v/d Mast</t>
  </si>
  <si>
    <t>Wim Seuntjens</t>
  </si>
  <si>
    <t>Ronald Bos</t>
  </si>
  <si>
    <t>Ad Diepstraten</t>
  </si>
  <si>
    <t>Jan Broeders</t>
  </si>
  <si>
    <t>Half jaar</t>
  </si>
  <si>
    <t>Naam  Res.Speler</t>
  </si>
  <si>
    <t>Jos van Aert</t>
  </si>
  <si>
    <t>Rene Luyten</t>
  </si>
  <si>
    <t>Ad van Gils</t>
  </si>
  <si>
    <t>Bas Plasman</t>
  </si>
  <si>
    <t>Frans Roelands</t>
  </si>
  <si>
    <t>Piet Laming</t>
  </si>
  <si>
    <t>Johan Nuyten</t>
  </si>
  <si>
    <t>Mart Pijpers</t>
  </si>
  <si>
    <t>Henry van Gils</t>
  </si>
  <si>
    <t xml:space="preserve">Johan de Hoon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</si>
</sst>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13]d/mmm;@"/>
    <numFmt numFmtId="165" formatCode="d/mm/yy;@"/>
    <numFmt numFmtId="166" formatCode="0.0"/>
  </numFmts>
  <fonts count="23" x14ac:knownFonts="1">
    <font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u/>
      <sz val="14"/>
      <name val="Calibri"/>
      <family val="2"/>
      <scheme val="minor"/>
    </font>
    <font>
      <b/>
      <sz val="14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b/>
      <sz val="2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05496"/>
      </left>
      <right/>
      <top style="medium">
        <color rgb="FF305496"/>
      </top>
      <bottom style="medium">
        <color rgb="FF305496"/>
      </bottom>
      <diagonal/>
    </border>
    <border>
      <left/>
      <right/>
      <top style="medium">
        <color rgb="FF305496"/>
      </top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/>
      <top/>
      <bottom/>
      <diagonal/>
    </border>
    <border>
      <left/>
      <right style="medium">
        <color rgb="FF305496"/>
      </right>
      <top/>
      <bottom/>
      <diagonal/>
    </border>
    <border>
      <left style="medium">
        <color rgb="FF305496"/>
      </left>
      <right style="dotted">
        <color rgb="FF305496"/>
      </right>
      <top/>
      <bottom style="dotted">
        <color rgb="FF305496"/>
      </bottom>
      <diagonal/>
    </border>
    <border>
      <left/>
      <right style="medium">
        <color rgb="FF305496"/>
      </right>
      <top/>
      <bottom style="dotted">
        <color rgb="FF305496"/>
      </bottom>
      <diagonal/>
    </border>
    <border>
      <left/>
      <right style="dotted">
        <color rgb="FF305496"/>
      </right>
      <top style="medium">
        <color rgb="FF305496"/>
      </top>
      <bottom style="dotted">
        <color rgb="FF305496"/>
      </bottom>
      <diagonal/>
    </border>
    <border>
      <left/>
      <right style="medium">
        <color rgb="FF305496"/>
      </right>
      <top style="medium">
        <color rgb="FF305496"/>
      </top>
      <bottom style="dotted">
        <color rgb="FF305496"/>
      </bottom>
      <diagonal/>
    </border>
    <border>
      <left/>
      <right style="dotted">
        <color rgb="FF305496"/>
      </right>
      <top/>
      <bottom style="dotted">
        <color rgb="FF305496"/>
      </bottom>
      <diagonal/>
    </border>
    <border>
      <left style="medium">
        <color rgb="FF305496"/>
      </left>
      <right style="dotted">
        <color rgb="FF305496"/>
      </right>
      <top/>
      <bottom style="medium">
        <color rgb="FF305496"/>
      </bottom>
      <diagonal/>
    </border>
    <border>
      <left/>
      <right style="medium">
        <color rgb="FF305496"/>
      </right>
      <top/>
      <bottom style="medium">
        <color rgb="FF305496"/>
      </bottom>
      <diagonal/>
    </border>
    <border>
      <left/>
      <right style="dotted">
        <color rgb="FF305496"/>
      </right>
      <top/>
      <bottom style="medium">
        <color rgb="FF30549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54">
    <xf numFmtId="0" fontId="0" fillId="0" borderId="0" xfId="0"/>
    <xf numFmtId="16" fontId="0" fillId="0" borderId="0" xfId="0" applyNumberFormat="1"/>
    <xf numFmtId="0" fontId="3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1" fillId="3" borderId="0" xfId="0" applyFont="1" applyFill="1"/>
    <xf numFmtId="0" fontId="2" fillId="3" borderId="0" xfId="0" applyFont="1" applyFill="1"/>
    <xf numFmtId="0" fontId="7" fillId="0" borderId="0" xfId="0" applyFont="1"/>
    <xf numFmtId="0" fontId="5" fillId="4" borderId="1" xfId="0" applyFont="1" applyFill="1" applyBorder="1"/>
    <xf numFmtId="0" fontId="9" fillId="3" borderId="0" xfId="0" applyFont="1" applyFill="1"/>
    <xf numFmtId="1" fontId="10" fillId="5" borderId="0" xfId="0" applyNumberFormat="1" applyFont="1" applyFill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5" borderId="0" xfId="0" applyNumberFormat="1" applyFont="1" applyFill="1" applyAlignment="1">
      <alignment horizontal="center"/>
    </xf>
    <xf numFmtId="0" fontId="0" fillId="3" borderId="0" xfId="0" applyFill="1"/>
    <xf numFmtId="0" fontId="12" fillId="0" borderId="0" xfId="0" applyFont="1"/>
    <xf numFmtId="0" fontId="13" fillId="3" borderId="0" xfId="0" applyFont="1" applyFill="1"/>
    <xf numFmtId="0" fontId="14" fillId="3" borderId="0" xfId="0" applyFont="1" applyFill="1"/>
    <xf numFmtId="0" fontId="0" fillId="2" borderId="0" xfId="0" applyFill="1"/>
    <xf numFmtId="164" fontId="17" fillId="0" borderId="1" xfId="0" applyNumberFormat="1" applyFont="1" applyBorder="1" applyAlignment="1">
      <alignment horizontal="center"/>
    </xf>
    <xf numFmtId="164" fontId="17" fillId="4" borderId="1" xfId="0" applyNumberFormat="1" applyFont="1" applyFill="1" applyBorder="1" applyAlignment="1">
      <alignment horizontal="center"/>
    </xf>
    <xf numFmtId="164" fontId="18" fillId="6" borderId="2" xfId="1" applyNumberFormat="1" applyFont="1" applyFill="1" applyBorder="1" applyAlignment="1">
      <alignment horizontal="center"/>
    </xf>
    <xf numFmtId="164" fontId="18" fillId="6" borderId="3" xfId="1" applyNumberFormat="1" applyFont="1" applyFill="1" applyBorder="1" applyAlignment="1">
      <alignment horizontal="center"/>
    </xf>
    <xf numFmtId="0" fontId="7" fillId="2" borderId="0" xfId="0" applyFont="1" applyFill="1"/>
    <xf numFmtId="14" fontId="16" fillId="2" borderId="0" xfId="1" applyNumberFormat="1" applyFont="1" applyFill="1" applyBorder="1" applyAlignment="1">
      <alignment horizontal="right"/>
    </xf>
    <xf numFmtId="0" fontId="6" fillId="3" borderId="4" xfId="0" applyFont="1" applyFill="1" applyBorder="1"/>
    <xf numFmtId="0" fontId="6" fillId="3" borderId="5" xfId="0" applyFont="1" applyFill="1" applyBorder="1"/>
    <xf numFmtId="0" fontId="8" fillId="3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5" fillId="7" borderId="1" xfId="0" applyFont="1" applyFill="1" applyBorder="1"/>
    <xf numFmtId="164" fontId="17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4" fontId="18" fillId="8" borderId="3" xfId="1" applyNumberFormat="1" applyFont="1" applyFill="1" applyBorder="1" applyAlignment="1">
      <alignment horizontal="center"/>
    </xf>
    <xf numFmtId="0" fontId="5" fillId="9" borderId="1" xfId="0" applyFont="1" applyFill="1" applyBorder="1"/>
    <xf numFmtId="165" fontId="0" fillId="0" borderId="0" xfId="0" applyNumberFormat="1"/>
    <xf numFmtId="0" fontId="6" fillId="3" borderId="0" xfId="0" applyFont="1" applyFill="1"/>
    <xf numFmtId="16" fontId="4" fillId="0" borderId="1" xfId="0" applyNumberFormat="1" applyFont="1" applyBorder="1" applyAlignment="1">
      <alignment horizontal="center"/>
    </xf>
    <xf numFmtId="0" fontId="5" fillId="10" borderId="1" xfId="0" applyFont="1" applyFill="1" applyBorder="1"/>
    <xf numFmtId="0" fontId="5" fillId="11" borderId="1" xfId="0" applyFont="1" applyFill="1" applyBorder="1"/>
    <xf numFmtId="16" fontId="4" fillId="4" borderId="1" xfId="0" applyNumberFormat="1" applyFont="1" applyFill="1" applyBorder="1" applyAlignment="1">
      <alignment horizontal="center"/>
    </xf>
    <xf numFmtId="16" fontId="4" fillId="8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1" fillId="12" borderId="7" xfId="0" applyFont="1" applyFill="1" applyBorder="1" applyAlignment="1">
      <alignment vertical="center"/>
    </xf>
    <xf numFmtId="14" fontId="21" fillId="12" borderId="8" xfId="0" applyNumberFormat="1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vertical="center"/>
    </xf>
    <xf numFmtId="0" fontId="21" fillId="12" borderId="9" xfId="0" applyFont="1" applyFill="1" applyBorder="1" applyAlignment="1">
      <alignment vertical="center"/>
    </xf>
    <xf numFmtId="0" fontId="21" fillId="12" borderId="10" xfId="0" applyFont="1" applyFill="1" applyBorder="1" applyAlignment="1">
      <alignment vertical="center"/>
    </xf>
    <xf numFmtId="0" fontId="21" fillId="12" borderId="0" xfId="0" applyFont="1" applyFill="1" applyAlignment="1">
      <alignment vertical="center"/>
    </xf>
    <xf numFmtId="0" fontId="21" fillId="12" borderId="11" xfId="0" applyFont="1" applyFill="1" applyBorder="1" applyAlignment="1">
      <alignment vertical="center"/>
    </xf>
    <xf numFmtId="0" fontId="21" fillId="13" borderId="12" xfId="0" applyFont="1" applyFill="1" applyBorder="1" applyAlignment="1">
      <alignment vertical="center"/>
    </xf>
    <xf numFmtId="0" fontId="21" fillId="13" borderId="13" xfId="0" applyFont="1" applyFill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13" borderId="16" xfId="0" applyFont="1" applyFill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13" borderId="17" xfId="0" applyFont="1" applyFill="1" applyBorder="1" applyAlignment="1">
      <alignment vertical="center"/>
    </xf>
    <xf numFmtId="0" fontId="21" fillId="13" borderId="1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0" fontId="21" fillId="14" borderId="26" xfId="0" applyFont="1" applyFill="1" applyBorder="1" applyAlignment="1">
      <alignment horizontal="right" vertical="center"/>
    </xf>
    <xf numFmtId="0" fontId="21" fillId="14" borderId="27" xfId="0" applyFont="1" applyFill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21" fillId="0" borderId="27" xfId="0" applyFont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21" fillId="14" borderId="29" xfId="0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right" vertical="center"/>
    </xf>
    <xf numFmtId="2" fontId="0" fillId="0" borderId="30" xfId="0" applyNumberFormat="1" applyBorder="1" applyAlignment="1">
      <alignment horizontal="center" vertical="center"/>
    </xf>
    <xf numFmtId="0" fontId="21" fillId="14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vertical="center"/>
    </xf>
    <xf numFmtId="0" fontId="21" fillId="14" borderId="31" xfId="0" applyFont="1" applyFill="1" applyBorder="1" applyAlignment="1">
      <alignment horizontal="right" vertical="center"/>
    </xf>
    <xf numFmtId="0" fontId="21" fillId="14" borderId="32" xfId="0" applyFont="1" applyFill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1" fillId="0" borderId="32" xfId="0" applyFont="1" applyBorder="1" applyAlignment="1">
      <alignment horizontal="right" vertical="center"/>
    </xf>
    <xf numFmtId="2" fontId="0" fillId="0" borderId="33" xfId="0" applyNumberForma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" fontId="20" fillId="0" borderId="35" xfId="0" applyNumberFormat="1" applyFont="1" applyBorder="1" applyAlignment="1">
      <alignment horizontal="center" vertical="center"/>
    </xf>
    <xf numFmtId="16" fontId="20" fillId="15" borderId="36" xfId="0" applyNumberFormat="1" applyFont="1" applyFill="1" applyBorder="1" applyAlignment="1">
      <alignment horizontal="center" vertical="center"/>
    </xf>
    <xf numFmtId="2" fontId="20" fillId="16" borderId="37" xfId="0" applyNumberFormat="1" applyFont="1" applyFill="1" applyBorder="1" applyAlignment="1">
      <alignment horizontal="center" vertical="center" wrapText="1"/>
    </xf>
    <xf numFmtId="2" fontId="2" fillId="0" borderId="37" xfId="0" applyNumberFormat="1" applyFont="1" applyBorder="1" applyAlignment="1">
      <alignment horizontal="center" vertical="center" wrapText="1"/>
    </xf>
    <xf numFmtId="166" fontId="2" fillId="3" borderId="37" xfId="0" applyNumberFormat="1" applyFont="1" applyFill="1" applyBorder="1" applyAlignment="1">
      <alignment horizontal="center" vertical="center" wrapText="1"/>
    </xf>
    <xf numFmtId="1" fontId="2" fillId="11" borderId="38" xfId="0" applyNumberFormat="1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/>
    </xf>
    <xf numFmtId="0" fontId="2" fillId="17" borderId="38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2" fillId="3" borderId="21" xfId="0" applyNumberFormat="1" applyFont="1" applyFill="1" applyBorder="1" applyAlignment="1">
      <alignment horizontal="center" vertical="center"/>
    </xf>
    <xf numFmtId="2" fontId="2" fillId="3" borderId="22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0" fillId="16" borderId="39" xfId="0" applyNumberFormat="1" applyFont="1" applyFill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166" fontId="2" fillId="3" borderId="39" xfId="0" applyNumberFormat="1" applyFont="1" applyFill="1" applyBorder="1" applyAlignment="1">
      <alignment horizontal="center" vertical="center" wrapText="1"/>
    </xf>
    <xf numFmtId="1" fontId="2" fillId="11" borderId="40" xfId="0" applyNumberFormat="1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/>
    </xf>
    <xf numFmtId="0" fontId="2" fillId="17" borderId="40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1" xfId="0" applyNumberFormat="1" applyBorder="1"/>
    <xf numFmtId="166" fontId="2" fillId="3" borderId="42" xfId="0" applyNumberFormat="1" applyFont="1" applyFill="1" applyBorder="1" applyAlignment="1">
      <alignment horizontal="center" vertical="center"/>
    </xf>
    <xf numFmtId="1" fontId="2" fillId="18" borderId="41" xfId="0" applyNumberFormat="1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/>
    </xf>
    <xf numFmtId="1" fontId="2" fillId="17" borderId="41" xfId="0" applyNumberFormat="1" applyFont="1" applyFill="1" applyBorder="1" applyAlignment="1">
      <alignment horizontal="center" vertical="center"/>
    </xf>
    <xf numFmtId="1" fontId="2" fillId="18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1" fontId="2" fillId="17" borderId="1" xfId="0" applyNumberFormat="1" applyFont="1" applyFill="1" applyBorder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0" borderId="1" xfId="0" applyFont="1" applyBorder="1"/>
    <xf numFmtId="2" fontId="2" fillId="3" borderId="4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1" fontId="2" fillId="16" borderId="1" xfId="0" applyNumberFormat="1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/>
    </xf>
    <xf numFmtId="4" fontId="0" fillId="8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4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Komma" xfId="1" builtinId="3"/>
    <cellStyle name="Standa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W-groep%20Stand%20regionaal\Competitie%202026-2027\Caramboles%20volgend%20jaar\berekeningen%20caramboles.xlsx" TargetMode="External"/><Relationship Id="rId1" Type="http://schemas.openxmlformats.org/officeDocument/2006/relationships/externalLinkPath" Target="file:///C:\Users\Administrator\Desktop\W-groep%20Stand%20regionaal\Competitie%202026-2027\Caramboles%20volgend%20jaar\berekeningen%20carambo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elmetair"/>
      <sheetName val="Afgerond"/>
      <sheetName val="Percentage"/>
    </sheetNames>
    <sheetDataSet>
      <sheetData sheetId="0"/>
      <sheetData sheetId="1"/>
      <sheetData sheetId="2">
        <row r="1">
          <cell r="A1">
            <v>200</v>
          </cell>
        </row>
        <row r="2">
          <cell r="A2">
            <v>200</v>
          </cell>
        </row>
        <row r="3">
          <cell r="A3">
            <v>200</v>
          </cell>
        </row>
        <row r="4">
          <cell r="A4">
            <v>200</v>
          </cell>
        </row>
        <row r="5">
          <cell r="A5">
            <v>200</v>
          </cell>
        </row>
        <row r="7">
          <cell r="A7">
            <v>200</v>
          </cell>
        </row>
        <row r="8">
          <cell r="A8">
            <v>200</v>
          </cell>
        </row>
        <row r="9">
          <cell r="A9">
            <v>200</v>
          </cell>
        </row>
        <row r="10">
          <cell r="A10">
            <v>200</v>
          </cell>
        </row>
        <row r="11">
          <cell r="A11">
            <v>200</v>
          </cell>
        </row>
        <row r="12">
          <cell r="A12">
            <v>200</v>
          </cell>
        </row>
        <row r="17">
          <cell r="A17">
            <v>200</v>
          </cell>
        </row>
        <row r="18">
          <cell r="A18">
            <v>200</v>
          </cell>
        </row>
        <row r="19">
          <cell r="A19">
            <v>200</v>
          </cell>
        </row>
        <row r="20">
          <cell r="A20">
            <v>200</v>
          </cell>
        </row>
        <row r="21">
          <cell r="A21">
            <v>200</v>
          </cell>
        </row>
        <row r="22">
          <cell r="A22">
            <v>200</v>
          </cell>
        </row>
        <row r="23">
          <cell r="A23">
            <v>200</v>
          </cell>
        </row>
        <row r="24">
          <cell r="A24">
            <v>200</v>
          </cell>
        </row>
        <row r="25">
          <cell r="A25">
            <v>200</v>
          </cell>
        </row>
        <row r="26">
          <cell r="A26">
            <v>200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51B3-1937-409E-BEB1-6DE3F9A9107B}">
  <dimension ref="A1:M57"/>
  <sheetViews>
    <sheetView zoomScaleNormal="100" workbookViewId="0">
      <selection activeCell="A44" sqref="A44:XFD44"/>
    </sheetView>
  </sheetViews>
  <sheetFormatPr defaultRowHeight="15" x14ac:dyDescent="0.25"/>
  <cols>
    <col min="2" max="2" width="14.28515625" customWidth="1"/>
    <col min="3" max="3" width="10" customWidth="1"/>
    <col min="4" max="4" width="10.5703125" customWidth="1"/>
    <col min="6" max="6" width="9.85546875" customWidth="1"/>
    <col min="7" max="7" width="13.5703125" customWidth="1"/>
    <col min="8" max="8" width="13.28515625" customWidth="1"/>
    <col min="9" max="9" width="10" customWidth="1"/>
    <col min="10" max="10" width="10.42578125" customWidth="1"/>
  </cols>
  <sheetData>
    <row r="1" spans="1:13" ht="28.5" customHeight="1" x14ac:dyDescent="0.35">
      <c r="A1" s="15" t="s">
        <v>20</v>
      </c>
      <c r="B1" s="15"/>
      <c r="C1" s="15"/>
      <c r="D1" s="15"/>
      <c r="E1" s="15"/>
      <c r="F1" s="15"/>
      <c r="G1" s="15"/>
      <c r="H1" s="16"/>
      <c r="I1" s="16"/>
      <c r="J1" s="13"/>
      <c r="K1" s="17"/>
    </row>
    <row r="2" spans="1:13" ht="9.75" customHeight="1" x14ac:dyDescent="0.25">
      <c r="B2" s="1"/>
    </row>
    <row r="3" spans="1:13" ht="17.25" customHeight="1" x14ac:dyDescent="0.35">
      <c r="B3" s="1"/>
      <c r="F3" s="14" t="s">
        <v>0</v>
      </c>
    </row>
    <row r="4" spans="1:13" ht="5.25" hidden="1" customHeight="1" x14ac:dyDescent="0.25">
      <c r="B4" s="1"/>
    </row>
    <row r="5" spans="1:13" ht="1.5" hidden="1" customHeight="1" x14ac:dyDescent="0.25">
      <c r="B5" s="5"/>
      <c r="C5" s="6"/>
      <c r="D5" s="6"/>
      <c r="E5" s="6"/>
      <c r="F5" s="6"/>
      <c r="G5" s="6"/>
      <c r="H5" s="6"/>
      <c r="I5" s="6"/>
      <c r="J5" s="6"/>
    </row>
    <row r="6" spans="1:13" hidden="1" x14ac:dyDescent="0.25">
      <c r="B6" s="2"/>
      <c r="C6" s="2"/>
      <c r="D6" s="2"/>
      <c r="E6" s="2"/>
      <c r="F6" s="2"/>
      <c r="G6" s="2"/>
      <c r="H6" s="2"/>
      <c r="I6" s="2"/>
      <c r="J6" s="2"/>
    </row>
    <row r="7" spans="1:13" ht="20.25" customHeight="1" x14ac:dyDescent="0.3">
      <c r="A7" s="9" t="s">
        <v>18</v>
      </c>
    </row>
    <row r="8" spans="1:13" ht="18.75" x14ac:dyDescent="0.3">
      <c r="A8" s="10">
        <v>1</v>
      </c>
      <c r="B8" s="20">
        <v>46273</v>
      </c>
      <c r="C8" s="3" t="s">
        <v>3</v>
      </c>
      <c r="D8" s="3" t="s">
        <v>1</v>
      </c>
      <c r="E8" s="4" t="s">
        <v>13</v>
      </c>
      <c r="F8" s="3" t="s">
        <v>2</v>
      </c>
      <c r="G8" s="3" t="s">
        <v>9</v>
      </c>
      <c r="H8" s="30" t="s">
        <v>4</v>
      </c>
      <c r="I8" s="3" t="s">
        <v>5</v>
      </c>
      <c r="J8" s="3" t="s">
        <v>6</v>
      </c>
    </row>
    <row r="9" spans="1:13" ht="18.75" x14ac:dyDescent="0.3">
      <c r="A9" s="11"/>
      <c r="B9" s="18"/>
      <c r="C9" s="4" t="s">
        <v>13</v>
      </c>
      <c r="D9" s="3" t="s">
        <v>7</v>
      </c>
      <c r="E9" s="4" t="s">
        <v>13</v>
      </c>
      <c r="F9" s="3" t="s">
        <v>8</v>
      </c>
      <c r="G9" s="3" t="s">
        <v>19</v>
      </c>
      <c r="H9" s="34" t="s">
        <v>10</v>
      </c>
      <c r="I9" s="3" t="s">
        <v>11</v>
      </c>
      <c r="J9" s="3" t="s">
        <v>12</v>
      </c>
      <c r="L9" s="17"/>
      <c r="M9" s="23"/>
    </row>
    <row r="10" spans="1:13" ht="9.75" customHeight="1" x14ac:dyDescent="0.3">
      <c r="A10" s="11"/>
      <c r="B10" s="19"/>
      <c r="C10" s="8"/>
      <c r="D10" s="8"/>
      <c r="E10" s="8"/>
      <c r="F10" s="8"/>
      <c r="G10" s="8"/>
      <c r="H10" s="8"/>
      <c r="I10" s="8"/>
      <c r="J10" s="8"/>
      <c r="L10" s="17"/>
      <c r="M10" s="23"/>
    </row>
    <row r="11" spans="1:13" ht="18.75" x14ac:dyDescent="0.3">
      <c r="A11" s="12">
        <v>2</v>
      </c>
      <c r="B11" s="21">
        <v>46280</v>
      </c>
      <c r="C11" s="3" t="s">
        <v>6</v>
      </c>
      <c r="D11" s="34" t="s">
        <v>10</v>
      </c>
      <c r="E11" s="3" t="s">
        <v>1</v>
      </c>
      <c r="F11" s="3" t="s">
        <v>8</v>
      </c>
      <c r="G11" s="4" t="s">
        <v>19</v>
      </c>
      <c r="H11" s="4" t="s">
        <v>13</v>
      </c>
      <c r="I11" s="4" t="s">
        <v>13</v>
      </c>
      <c r="J11" s="3" t="s">
        <v>11</v>
      </c>
      <c r="L11" s="17"/>
      <c r="M11" s="23"/>
    </row>
    <row r="12" spans="1:13" ht="18.75" x14ac:dyDescent="0.3">
      <c r="A12" s="11"/>
      <c r="B12" s="18"/>
      <c r="C12" s="30" t="s">
        <v>4</v>
      </c>
      <c r="D12" s="3" t="s">
        <v>12</v>
      </c>
      <c r="E12" s="3" t="s">
        <v>2</v>
      </c>
      <c r="F12" s="3" t="s">
        <v>7</v>
      </c>
      <c r="G12" s="4" t="s">
        <v>13</v>
      </c>
      <c r="H12" s="4" t="s">
        <v>9</v>
      </c>
      <c r="I12" s="3" t="s">
        <v>5</v>
      </c>
      <c r="J12" s="3" t="s">
        <v>3</v>
      </c>
      <c r="L12" s="17"/>
      <c r="M12" s="23"/>
    </row>
    <row r="13" spans="1:13" ht="10.5" customHeight="1" x14ac:dyDescent="0.3">
      <c r="A13" s="11"/>
      <c r="B13" s="19"/>
      <c r="C13" s="8"/>
      <c r="D13" s="8"/>
      <c r="E13" s="8"/>
      <c r="F13" s="8"/>
      <c r="G13" s="8"/>
      <c r="H13" s="8"/>
      <c r="I13" s="3"/>
      <c r="J13" s="3"/>
      <c r="L13" s="17"/>
      <c r="M13" s="23"/>
    </row>
    <row r="14" spans="1:13" ht="18.75" x14ac:dyDescent="0.3">
      <c r="A14" s="12">
        <v>3</v>
      </c>
      <c r="B14" s="21">
        <v>46287</v>
      </c>
      <c r="C14" s="3" t="s">
        <v>19</v>
      </c>
      <c r="D14" s="3" t="s">
        <v>7</v>
      </c>
      <c r="E14" s="4" t="s">
        <v>2</v>
      </c>
      <c r="F14" s="4" t="s">
        <v>13</v>
      </c>
      <c r="G14" s="3" t="s">
        <v>5</v>
      </c>
      <c r="H14" s="34" t="s">
        <v>10</v>
      </c>
      <c r="I14" s="3" t="s">
        <v>12</v>
      </c>
      <c r="J14" s="4" t="s">
        <v>13</v>
      </c>
      <c r="L14" s="17"/>
      <c r="M14" s="23"/>
    </row>
    <row r="15" spans="1:13" ht="18.75" x14ac:dyDescent="0.3">
      <c r="A15" s="11"/>
      <c r="B15" s="18"/>
      <c r="C15" s="3" t="s">
        <v>1</v>
      </c>
      <c r="D15" s="3" t="s">
        <v>9</v>
      </c>
      <c r="E15" s="4" t="s">
        <v>13</v>
      </c>
      <c r="F15" s="4" t="s">
        <v>8</v>
      </c>
      <c r="G15" s="30" t="s">
        <v>4</v>
      </c>
      <c r="H15" s="3" t="s">
        <v>11</v>
      </c>
      <c r="I15" s="3" t="s">
        <v>3</v>
      </c>
      <c r="J15" s="3" t="s">
        <v>6</v>
      </c>
      <c r="L15" s="17"/>
      <c r="M15" s="23"/>
    </row>
    <row r="16" spans="1:13" ht="7.5" customHeight="1" x14ac:dyDescent="0.3">
      <c r="A16" s="11"/>
      <c r="B16" s="19"/>
      <c r="C16" s="8"/>
      <c r="D16" s="8"/>
      <c r="E16" s="8"/>
      <c r="F16" s="8"/>
      <c r="G16" s="8"/>
      <c r="H16" s="8"/>
      <c r="I16" s="3"/>
      <c r="J16" s="3"/>
      <c r="L16" s="17"/>
      <c r="M16" s="23"/>
    </row>
    <row r="17" spans="1:13" ht="18.75" x14ac:dyDescent="0.3">
      <c r="A17" s="12">
        <v>4</v>
      </c>
      <c r="B17" s="31">
        <v>46294</v>
      </c>
      <c r="C17" s="3" t="s">
        <v>9</v>
      </c>
      <c r="D17" s="3" t="s">
        <v>8</v>
      </c>
      <c r="E17" s="4" t="s">
        <v>13</v>
      </c>
      <c r="F17" s="4" t="s">
        <v>12</v>
      </c>
      <c r="G17" s="3" t="s">
        <v>1</v>
      </c>
      <c r="H17" s="3" t="s">
        <v>11</v>
      </c>
      <c r="I17" s="30" t="s">
        <v>4</v>
      </c>
      <c r="J17" s="3" t="s">
        <v>3</v>
      </c>
      <c r="L17" s="17"/>
      <c r="M17" s="23"/>
    </row>
    <row r="18" spans="1:13" ht="18.75" x14ac:dyDescent="0.3">
      <c r="A18" s="11"/>
      <c r="B18" s="18"/>
      <c r="C18" s="3" t="s">
        <v>2</v>
      </c>
      <c r="D18" s="3" t="s">
        <v>19</v>
      </c>
      <c r="E18" s="4" t="s">
        <v>6</v>
      </c>
      <c r="F18" s="4" t="s">
        <v>13</v>
      </c>
      <c r="G18" s="3" t="s">
        <v>5</v>
      </c>
      <c r="H18" s="3" t="s">
        <v>7</v>
      </c>
      <c r="I18" s="4" t="s">
        <v>13</v>
      </c>
      <c r="J18" s="34" t="s">
        <v>10</v>
      </c>
      <c r="L18" s="17"/>
      <c r="M18" s="23"/>
    </row>
    <row r="19" spans="1:13" ht="9" customHeight="1" x14ac:dyDescent="0.3">
      <c r="A19" s="11"/>
      <c r="B19" s="19"/>
      <c r="C19" s="8"/>
      <c r="D19" s="8"/>
      <c r="E19" s="8"/>
      <c r="F19" s="8"/>
      <c r="G19" s="8"/>
      <c r="H19" s="8"/>
      <c r="I19" s="3"/>
      <c r="J19" s="3"/>
      <c r="L19" s="17"/>
      <c r="M19" s="23"/>
    </row>
    <row r="20" spans="1:13" ht="18.75" x14ac:dyDescent="0.3">
      <c r="A20" s="12">
        <v>5</v>
      </c>
      <c r="B20" s="18">
        <v>46301</v>
      </c>
      <c r="C20" s="4" t="s">
        <v>5</v>
      </c>
      <c r="D20" s="4" t="s">
        <v>13</v>
      </c>
      <c r="E20" s="3" t="s">
        <v>7</v>
      </c>
      <c r="F20" s="3" t="s">
        <v>12</v>
      </c>
      <c r="G20" s="3" t="s">
        <v>19</v>
      </c>
      <c r="H20" s="34" t="s">
        <v>10</v>
      </c>
      <c r="I20" s="3" t="s">
        <v>2</v>
      </c>
      <c r="J20" s="4" t="s">
        <v>13</v>
      </c>
      <c r="L20" s="17"/>
      <c r="M20" s="23"/>
    </row>
    <row r="21" spans="1:13" ht="18.75" x14ac:dyDescent="0.3">
      <c r="A21" s="11"/>
      <c r="B21" s="18"/>
      <c r="C21" s="4" t="s">
        <v>13</v>
      </c>
      <c r="D21" s="4" t="s">
        <v>11</v>
      </c>
      <c r="E21" s="3" t="s">
        <v>6</v>
      </c>
      <c r="F21" s="3" t="s">
        <v>1</v>
      </c>
      <c r="G21" s="30" t="s">
        <v>4</v>
      </c>
      <c r="H21" s="3" t="s">
        <v>9</v>
      </c>
      <c r="I21" s="3" t="s">
        <v>3</v>
      </c>
      <c r="J21" s="3" t="s">
        <v>8</v>
      </c>
      <c r="L21" s="17"/>
      <c r="M21" s="23"/>
    </row>
    <row r="22" spans="1:13" ht="9" customHeight="1" x14ac:dyDescent="0.3">
      <c r="A22" s="11"/>
      <c r="B22" s="19"/>
      <c r="C22" s="8"/>
      <c r="D22" s="8"/>
      <c r="E22" s="8"/>
      <c r="F22" s="8"/>
      <c r="G22" s="8"/>
      <c r="H22" s="8"/>
      <c r="I22" s="3"/>
      <c r="J22" s="3"/>
      <c r="L22" s="17"/>
      <c r="M22" s="23"/>
    </row>
    <row r="23" spans="1:13" ht="18.75" x14ac:dyDescent="0.3">
      <c r="A23" s="12">
        <v>6</v>
      </c>
      <c r="B23" s="21">
        <v>46308</v>
      </c>
      <c r="C23" s="3" t="s">
        <v>6</v>
      </c>
      <c r="D23" s="3" t="s">
        <v>11</v>
      </c>
      <c r="E23" s="30" t="s">
        <v>4</v>
      </c>
      <c r="F23" s="3" t="s">
        <v>8</v>
      </c>
      <c r="G23" s="4" t="s">
        <v>13</v>
      </c>
      <c r="H23" s="4" t="s">
        <v>7</v>
      </c>
      <c r="I23" s="3" t="s">
        <v>9</v>
      </c>
      <c r="J23" s="3" t="s">
        <v>3</v>
      </c>
      <c r="L23" s="17"/>
      <c r="M23" s="17"/>
    </row>
    <row r="24" spans="1:13" ht="18.75" x14ac:dyDescent="0.3">
      <c r="A24" s="11"/>
      <c r="B24" s="18"/>
      <c r="C24" s="3" t="s">
        <v>5</v>
      </c>
      <c r="D24" s="3" t="s">
        <v>12</v>
      </c>
      <c r="E24" s="3" t="s">
        <v>2</v>
      </c>
      <c r="F24" s="34" t="s">
        <v>10</v>
      </c>
      <c r="G24" s="4" t="s">
        <v>1</v>
      </c>
      <c r="H24" s="4" t="s">
        <v>14</v>
      </c>
      <c r="I24" s="4" t="s">
        <v>13</v>
      </c>
      <c r="J24" s="3" t="s">
        <v>19</v>
      </c>
      <c r="L24" s="17"/>
      <c r="M24" s="17"/>
    </row>
    <row r="25" spans="1:13" ht="11.25" customHeight="1" x14ac:dyDescent="0.3">
      <c r="A25" s="11"/>
      <c r="B25" s="19"/>
      <c r="C25" s="8"/>
      <c r="D25" s="8"/>
      <c r="E25" s="8"/>
      <c r="F25" s="8"/>
      <c r="G25" s="8"/>
      <c r="H25" s="8"/>
      <c r="I25" s="3"/>
      <c r="J25" s="3"/>
    </row>
    <row r="26" spans="1:13" ht="18.75" x14ac:dyDescent="0.3">
      <c r="A26" s="12">
        <v>7</v>
      </c>
      <c r="B26" s="21">
        <v>46315</v>
      </c>
      <c r="C26" s="3" t="s">
        <v>9</v>
      </c>
      <c r="D26" s="3" t="s">
        <v>12</v>
      </c>
      <c r="E26" s="3" t="s">
        <v>11</v>
      </c>
      <c r="F26" s="3" t="s">
        <v>2</v>
      </c>
      <c r="G26" s="30" t="s">
        <v>4</v>
      </c>
      <c r="H26" s="3" t="s">
        <v>1</v>
      </c>
      <c r="I26" s="4" t="s">
        <v>14</v>
      </c>
      <c r="J26" s="4" t="s">
        <v>17</v>
      </c>
    </row>
    <row r="27" spans="1:13" ht="18.75" x14ac:dyDescent="0.3">
      <c r="A27" s="11"/>
      <c r="B27" s="18" t="s">
        <v>15</v>
      </c>
      <c r="C27" s="3" t="s">
        <v>6</v>
      </c>
      <c r="D27" s="3" t="s">
        <v>19</v>
      </c>
      <c r="E27" s="3" t="s">
        <v>8</v>
      </c>
      <c r="F27" s="3" t="s">
        <v>5</v>
      </c>
      <c r="G27" s="3" t="s">
        <v>7</v>
      </c>
      <c r="H27" s="34" t="s">
        <v>10</v>
      </c>
      <c r="I27" s="4" t="s">
        <v>3</v>
      </c>
      <c r="J27" s="4" t="s">
        <v>13</v>
      </c>
    </row>
    <row r="28" spans="1:13" ht="9.75" customHeight="1" x14ac:dyDescent="0.3">
      <c r="A28" s="11"/>
      <c r="B28" s="19"/>
      <c r="C28" s="8"/>
      <c r="D28" s="8"/>
      <c r="E28" s="8"/>
      <c r="F28" s="8"/>
      <c r="G28" s="8"/>
      <c r="H28" s="8"/>
      <c r="I28" s="3"/>
      <c r="J28" s="3"/>
    </row>
    <row r="29" spans="1:13" ht="18.75" x14ac:dyDescent="0.3">
      <c r="A29" s="12">
        <v>8</v>
      </c>
      <c r="B29" s="33">
        <v>46322</v>
      </c>
      <c r="C29" s="3" t="s">
        <v>6</v>
      </c>
      <c r="D29" s="3" t="s">
        <v>8</v>
      </c>
      <c r="E29" s="3" t="s">
        <v>5</v>
      </c>
      <c r="F29" s="3" t="s">
        <v>19</v>
      </c>
      <c r="G29" s="4" t="s">
        <v>14</v>
      </c>
      <c r="H29" s="34" t="s">
        <v>10</v>
      </c>
      <c r="I29" s="3" t="s">
        <v>7</v>
      </c>
      <c r="J29" s="3" t="s">
        <v>3</v>
      </c>
    </row>
    <row r="30" spans="1:13" ht="18.75" x14ac:dyDescent="0.3">
      <c r="A30" s="11"/>
      <c r="B30" s="31"/>
      <c r="C30" s="3" t="s">
        <v>2</v>
      </c>
      <c r="D30" s="3" t="s">
        <v>12</v>
      </c>
      <c r="E30" s="3" t="s">
        <v>9</v>
      </c>
      <c r="F30" s="3" t="s">
        <v>11</v>
      </c>
      <c r="G30" s="30" t="s">
        <v>4</v>
      </c>
      <c r="H30" s="4" t="s">
        <v>13</v>
      </c>
      <c r="I30" s="4" t="s">
        <v>13</v>
      </c>
      <c r="J30" s="3" t="s">
        <v>1</v>
      </c>
    </row>
    <row r="31" spans="1:13" ht="9" customHeight="1" x14ac:dyDescent="0.3">
      <c r="A31" s="11"/>
      <c r="B31" s="19"/>
      <c r="C31" s="8"/>
      <c r="D31" s="8"/>
      <c r="E31" s="8"/>
      <c r="F31" s="8"/>
      <c r="G31" s="8"/>
      <c r="H31" s="8"/>
      <c r="I31" s="3"/>
      <c r="J31" s="3"/>
    </row>
    <row r="32" spans="1:13" ht="18.75" x14ac:dyDescent="0.3">
      <c r="A32" s="12">
        <v>9</v>
      </c>
      <c r="B32" s="21">
        <v>46329</v>
      </c>
      <c r="C32" s="3" t="s">
        <v>12</v>
      </c>
      <c r="D32" s="34" t="s">
        <v>10</v>
      </c>
      <c r="E32" s="3" t="s">
        <v>2</v>
      </c>
      <c r="F32" s="3" t="s">
        <v>1</v>
      </c>
      <c r="G32" s="4" t="s">
        <v>13</v>
      </c>
      <c r="H32" s="4" t="s">
        <v>19</v>
      </c>
      <c r="I32" s="3" t="s">
        <v>11</v>
      </c>
      <c r="J32" s="3" t="s">
        <v>3</v>
      </c>
    </row>
    <row r="33" spans="1:10" ht="18.75" x14ac:dyDescent="0.3">
      <c r="A33" s="11"/>
      <c r="B33" s="18"/>
      <c r="C33" s="30" t="s">
        <v>4</v>
      </c>
      <c r="D33" s="3" t="s">
        <v>6</v>
      </c>
      <c r="E33" s="3" t="s">
        <v>16</v>
      </c>
      <c r="F33" s="3" t="s">
        <v>8</v>
      </c>
      <c r="G33" s="4" t="s">
        <v>9</v>
      </c>
      <c r="H33" s="4" t="s">
        <v>14</v>
      </c>
      <c r="I33" s="4" t="s">
        <v>13</v>
      </c>
      <c r="J33" s="3" t="s">
        <v>5</v>
      </c>
    </row>
    <row r="34" spans="1:10" ht="10.5" customHeight="1" x14ac:dyDescent="0.3">
      <c r="A34" s="11"/>
      <c r="B34" s="19"/>
      <c r="C34" s="8"/>
      <c r="D34" s="8"/>
      <c r="E34" s="8"/>
      <c r="F34" s="8"/>
      <c r="G34" s="8"/>
      <c r="H34" s="8"/>
      <c r="I34" s="3"/>
      <c r="J34" s="3"/>
    </row>
    <row r="35" spans="1:10" ht="18.75" x14ac:dyDescent="0.3">
      <c r="A35" s="12">
        <v>10</v>
      </c>
      <c r="B35" s="21">
        <v>46336</v>
      </c>
      <c r="C35" s="3" t="s">
        <v>9</v>
      </c>
      <c r="D35" s="3" t="s">
        <v>7</v>
      </c>
      <c r="E35" s="4" t="s">
        <v>8</v>
      </c>
      <c r="F35" s="4" t="s">
        <v>14</v>
      </c>
      <c r="G35" s="3" t="s">
        <v>5</v>
      </c>
      <c r="H35" s="30" t="s">
        <v>4</v>
      </c>
      <c r="I35" s="3" t="s">
        <v>6</v>
      </c>
      <c r="J35" s="4" t="s">
        <v>13</v>
      </c>
    </row>
    <row r="36" spans="1:10" ht="18.75" x14ac:dyDescent="0.3">
      <c r="A36" s="11"/>
      <c r="B36" s="18"/>
      <c r="C36" s="3" t="s">
        <v>1</v>
      </c>
      <c r="D36" s="3" t="s">
        <v>19</v>
      </c>
      <c r="E36" s="4" t="s">
        <v>13</v>
      </c>
      <c r="F36" s="4" t="s">
        <v>2</v>
      </c>
      <c r="G36" s="34" t="s">
        <v>10</v>
      </c>
      <c r="H36" s="3" t="s">
        <v>11</v>
      </c>
      <c r="I36" s="3" t="s">
        <v>3</v>
      </c>
      <c r="J36" s="3" t="s">
        <v>12</v>
      </c>
    </row>
    <row r="37" spans="1:10" ht="9.75" customHeight="1" x14ac:dyDescent="0.3">
      <c r="A37" s="11"/>
      <c r="B37" s="19"/>
      <c r="C37" s="8"/>
      <c r="D37" s="8"/>
      <c r="E37" s="8"/>
      <c r="F37" s="8"/>
      <c r="G37" s="8"/>
      <c r="H37" s="8"/>
      <c r="I37" s="3"/>
      <c r="J37" s="3"/>
    </row>
    <row r="38" spans="1:10" ht="18.75" x14ac:dyDescent="0.3">
      <c r="A38" s="12">
        <v>11</v>
      </c>
      <c r="B38" s="33">
        <v>46343</v>
      </c>
      <c r="C38" s="3" t="s">
        <v>2</v>
      </c>
      <c r="D38" s="3" t="s">
        <v>9</v>
      </c>
      <c r="E38" s="4" t="s">
        <v>14</v>
      </c>
      <c r="F38" s="4" t="s">
        <v>12</v>
      </c>
      <c r="G38" s="3" t="s">
        <v>7</v>
      </c>
      <c r="H38" s="3" t="s">
        <v>11</v>
      </c>
      <c r="I38" s="34" t="s">
        <v>10</v>
      </c>
      <c r="J38" s="3" t="s">
        <v>3</v>
      </c>
    </row>
    <row r="39" spans="1:10" ht="18.75" x14ac:dyDescent="0.3">
      <c r="A39" s="11"/>
      <c r="B39" s="18"/>
      <c r="C39" s="3" t="s">
        <v>19</v>
      </c>
      <c r="D39" s="3" t="s">
        <v>8</v>
      </c>
      <c r="E39" s="4" t="s">
        <v>6</v>
      </c>
      <c r="F39" s="4" t="s">
        <v>13</v>
      </c>
      <c r="G39" s="3" t="s">
        <v>5</v>
      </c>
      <c r="H39" s="3" t="s">
        <v>1</v>
      </c>
      <c r="I39" s="4" t="s">
        <v>13</v>
      </c>
      <c r="J39" s="30" t="s">
        <v>4</v>
      </c>
    </row>
    <row r="40" spans="1:10" ht="9.75" customHeight="1" x14ac:dyDescent="0.3">
      <c r="A40" s="11"/>
      <c r="B40" s="19"/>
      <c r="C40" s="8"/>
      <c r="D40" s="8"/>
      <c r="E40" s="8"/>
      <c r="F40" s="8"/>
      <c r="G40" s="8"/>
      <c r="H40" s="8"/>
      <c r="I40" s="3"/>
      <c r="J40" s="3"/>
    </row>
    <row r="41" spans="1:10" ht="18.75" x14ac:dyDescent="0.3">
      <c r="A41" s="12">
        <v>12</v>
      </c>
      <c r="B41" s="21">
        <v>46350</v>
      </c>
      <c r="C41" s="4" t="s">
        <v>5</v>
      </c>
      <c r="D41" s="4" t="s">
        <v>13</v>
      </c>
      <c r="E41" s="3" t="s">
        <v>12</v>
      </c>
      <c r="F41" s="3" t="s">
        <v>1</v>
      </c>
      <c r="G41" s="30" t="s">
        <v>4</v>
      </c>
      <c r="H41" s="3" t="s">
        <v>19</v>
      </c>
      <c r="I41" s="4" t="s">
        <v>13</v>
      </c>
      <c r="J41" s="3" t="s">
        <v>8</v>
      </c>
    </row>
    <row r="42" spans="1:10" ht="18.75" x14ac:dyDescent="0.3">
      <c r="A42" s="11"/>
      <c r="B42" s="18"/>
      <c r="C42" s="4" t="s">
        <v>14</v>
      </c>
      <c r="D42" s="4" t="s">
        <v>11</v>
      </c>
      <c r="E42" s="3" t="s">
        <v>7</v>
      </c>
      <c r="F42" s="3" t="s">
        <v>6</v>
      </c>
      <c r="G42" s="3" t="s">
        <v>9</v>
      </c>
      <c r="H42" s="34" t="s">
        <v>10</v>
      </c>
      <c r="I42" s="3" t="s">
        <v>2</v>
      </c>
      <c r="J42" s="3" t="s">
        <v>3</v>
      </c>
    </row>
    <row r="43" spans="1:10" ht="10.5" customHeight="1" x14ac:dyDescent="0.3">
      <c r="A43" s="11"/>
      <c r="B43" s="19"/>
      <c r="C43" s="8"/>
      <c r="D43" s="8"/>
      <c r="E43" s="8"/>
      <c r="F43" s="8"/>
      <c r="G43" s="8"/>
      <c r="H43" s="8"/>
      <c r="I43" s="3"/>
      <c r="J43" s="3"/>
    </row>
    <row r="44" spans="1:10" ht="18.75" x14ac:dyDescent="0.3">
      <c r="A44" s="12">
        <v>13</v>
      </c>
      <c r="B44" s="21">
        <v>46357</v>
      </c>
      <c r="C44" s="3" t="s">
        <v>5</v>
      </c>
      <c r="D44" s="3" t="s">
        <v>6</v>
      </c>
      <c r="E44" s="3" t="s">
        <v>8</v>
      </c>
      <c r="F44" s="34" t="s">
        <v>10</v>
      </c>
      <c r="G44" s="4" t="s">
        <v>14</v>
      </c>
      <c r="H44" s="4" t="s">
        <v>7</v>
      </c>
      <c r="I44" s="3" t="s">
        <v>19</v>
      </c>
      <c r="J44" s="3" t="s">
        <v>3</v>
      </c>
    </row>
    <row r="45" spans="1:10" ht="18.75" x14ac:dyDescent="0.3">
      <c r="A45" s="11"/>
      <c r="B45" s="18"/>
      <c r="C45" s="3" t="s">
        <v>12</v>
      </c>
      <c r="D45" s="3" t="s">
        <v>11</v>
      </c>
      <c r="E45" s="30" t="s">
        <v>4</v>
      </c>
      <c r="F45" s="3" t="s">
        <v>2</v>
      </c>
      <c r="G45" s="4" t="s">
        <v>1</v>
      </c>
      <c r="H45" s="4" t="s">
        <v>13</v>
      </c>
      <c r="I45" s="4" t="s">
        <v>13</v>
      </c>
      <c r="J45" s="3" t="s">
        <v>9</v>
      </c>
    </row>
    <row r="46" spans="1:10" ht="9.75" customHeight="1" x14ac:dyDescent="0.3">
      <c r="A46" s="11"/>
      <c r="B46" s="19"/>
      <c r="C46" s="8"/>
      <c r="D46" s="8"/>
      <c r="E46" s="8"/>
      <c r="F46" s="8"/>
      <c r="G46" s="8"/>
      <c r="H46" s="8"/>
      <c r="I46" s="3"/>
      <c r="J46" s="3"/>
    </row>
    <row r="47" spans="1:10" ht="18.75" x14ac:dyDescent="0.3">
      <c r="A47" s="12">
        <v>14</v>
      </c>
      <c r="B47" s="21">
        <v>46364</v>
      </c>
      <c r="C47" s="3" t="s">
        <v>12</v>
      </c>
      <c r="D47" s="3" t="s">
        <v>19</v>
      </c>
      <c r="E47" s="3" t="s">
        <v>11</v>
      </c>
      <c r="F47" s="3" t="s">
        <v>8</v>
      </c>
      <c r="G47" s="30" t="s">
        <v>4</v>
      </c>
      <c r="H47" s="3" t="s">
        <v>7</v>
      </c>
      <c r="I47" s="4" t="s">
        <v>13</v>
      </c>
      <c r="J47" s="4" t="s">
        <v>17</v>
      </c>
    </row>
    <row r="48" spans="1:10" ht="18.75" x14ac:dyDescent="0.3">
      <c r="A48" s="11"/>
      <c r="B48" s="18"/>
      <c r="C48" s="3" t="s">
        <v>9</v>
      </c>
      <c r="D48" s="3" t="s">
        <v>6</v>
      </c>
      <c r="E48" s="3" t="s">
        <v>2</v>
      </c>
      <c r="F48" s="3" t="s">
        <v>5</v>
      </c>
      <c r="G48" s="3" t="s">
        <v>1</v>
      </c>
      <c r="H48" s="34" t="s">
        <v>10</v>
      </c>
      <c r="I48" s="4" t="s">
        <v>3</v>
      </c>
      <c r="J48" s="4" t="s">
        <v>14</v>
      </c>
    </row>
    <row r="49" spans="1:11" ht="9" customHeight="1" x14ac:dyDescent="0.3">
      <c r="A49" s="11"/>
      <c r="B49" s="19"/>
      <c r="C49" s="8"/>
      <c r="D49" s="8"/>
      <c r="E49" s="8"/>
      <c r="F49" s="8"/>
      <c r="G49" s="8"/>
      <c r="H49" s="8"/>
      <c r="I49" s="3"/>
      <c r="J49" s="3"/>
    </row>
    <row r="50" spans="1:11" ht="18.75" x14ac:dyDescent="0.3">
      <c r="A50" s="12">
        <v>15</v>
      </c>
      <c r="B50" s="31">
        <v>46371</v>
      </c>
      <c r="C50" s="3" t="s">
        <v>6</v>
      </c>
      <c r="D50" s="3" t="s">
        <v>2</v>
      </c>
      <c r="E50" s="4" t="s">
        <v>13</v>
      </c>
      <c r="F50" s="34" t="s">
        <v>10</v>
      </c>
      <c r="G50" s="3" t="s">
        <v>9</v>
      </c>
      <c r="H50" s="3" t="s">
        <v>5</v>
      </c>
      <c r="I50" s="3" t="s">
        <v>1</v>
      </c>
      <c r="J50" s="3" t="s">
        <v>3</v>
      </c>
    </row>
    <row r="51" spans="1:11" ht="18.75" x14ac:dyDescent="0.3">
      <c r="A51" s="11"/>
      <c r="B51" s="32"/>
      <c r="C51" s="3" t="s">
        <v>8</v>
      </c>
      <c r="D51" s="3" t="s">
        <v>12</v>
      </c>
      <c r="E51" s="30" t="s">
        <v>4</v>
      </c>
      <c r="F51" s="4" t="s">
        <v>14</v>
      </c>
      <c r="G51" s="3" t="s">
        <v>11</v>
      </c>
      <c r="H51" s="3" t="s">
        <v>19</v>
      </c>
      <c r="I51" s="4" t="s">
        <v>13</v>
      </c>
      <c r="J51" s="3" t="s">
        <v>7</v>
      </c>
    </row>
    <row r="52" spans="1:11" ht="14.25" customHeight="1" x14ac:dyDescent="0.25"/>
    <row r="53" spans="1:11" hidden="1" x14ac:dyDescent="0.25"/>
    <row r="54" spans="1:11" ht="21" x14ac:dyDescent="0.35">
      <c r="B54" s="24" t="s">
        <v>22</v>
      </c>
      <c r="C54" s="25"/>
      <c r="D54" s="25"/>
      <c r="E54" s="25"/>
      <c r="F54" s="25"/>
      <c r="G54" s="25"/>
      <c r="H54" s="25"/>
      <c r="I54" s="26"/>
    </row>
    <row r="55" spans="1:11" ht="10.5" customHeight="1" x14ac:dyDescent="0.25"/>
    <row r="56" spans="1:11" ht="23.25" x14ac:dyDescent="0.35">
      <c r="A56" s="22" t="s">
        <v>21</v>
      </c>
      <c r="B56" s="27"/>
      <c r="C56" s="28"/>
      <c r="D56" s="28"/>
      <c r="E56" s="28"/>
      <c r="F56" s="28"/>
      <c r="G56" s="28"/>
      <c r="H56" s="28"/>
      <c r="I56" s="29"/>
      <c r="J56" s="22"/>
    </row>
    <row r="57" spans="1:11" ht="23.25" x14ac:dyDescent="0.35">
      <c r="B57" s="7"/>
      <c r="C57" s="7"/>
      <c r="K57" s="17"/>
    </row>
  </sheetData>
  <pageMargins left="0.23622047244094491" right="0.23622047244094491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10DF-FDA9-4E64-9C43-1FF9E45EF248}">
  <dimension ref="A1:J50"/>
  <sheetViews>
    <sheetView topLeftCell="A34" workbookViewId="0">
      <selection activeCell="Q44" sqref="Q44"/>
    </sheetView>
  </sheetViews>
  <sheetFormatPr defaultRowHeight="15" x14ac:dyDescent="0.25"/>
  <sheetData>
    <row r="1" spans="1:10" ht="23.25" x14ac:dyDescent="0.35">
      <c r="A1" s="15" t="s">
        <v>20</v>
      </c>
      <c r="B1" s="15"/>
      <c r="C1" s="15"/>
      <c r="D1" s="15"/>
      <c r="E1" s="15"/>
      <c r="F1" s="15"/>
      <c r="G1" s="15"/>
      <c r="H1" s="16"/>
      <c r="I1" s="16"/>
      <c r="J1" s="13"/>
    </row>
    <row r="2" spans="1:10" x14ac:dyDescent="0.25">
      <c r="B2" s="1"/>
    </row>
    <row r="3" spans="1:10" ht="21" x14ac:dyDescent="0.35">
      <c r="B3" s="35"/>
      <c r="F3" s="14" t="s">
        <v>23</v>
      </c>
    </row>
    <row r="4" spans="1:10" x14ac:dyDescent="0.25">
      <c r="B4" s="1"/>
    </row>
    <row r="5" spans="1:10" x14ac:dyDescent="0.25">
      <c r="B5" s="2"/>
      <c r="C5" s="2"/>
      <c r="D5" s="2"/>
      <c r="E5" s="2"/>
      <c r="F5" s="2"/>
      <c r="G5" s="2"/>
      <c r="H5" s="2"/>
      <c r="I5" s="2"/>
      <c r="J5" s="2"/>
    </row>
    <row r="6" spans="1:10" ht="21" x14ac:dyDescent="0.35">
      <c r="A6" s="9" t="s">
        <v>18</v>
      </c>
      <c r="B6" s="36" t="s">
        <v>24</v>
      </c>
      <c r="C6" s="13"/>
      <c r="D6" s="13"/>
      <c r="E6" s="36" t="s">
        <v>25</v>
      </c>
      <c r="F6" s="13"/>
      <c r="G6" s="13"/>
      <c r="H6" s="13"/>
      <c r="I6" s="36" t="s">
        <v>26</v>
      </c>
      <c r="J6" s="13"/>
    </row>
    <row r="7" spans="1:10" ht="18.75" x14ac:dyDescent="0.3">
      <c r="A7" s="10">
        <v>16</v>
      </c>
      <c r="B7" s="37">
        <v>46392</v>
      </c>
      <c r="C7" s="4" t="s">
        <v>13</v>
      </c>
      <c r="D7" s="3" t="s">
        <v>7</v>
      </c>
      <c r="E7" s="4" t="s">
        <v>13</v>
      </c>
      <c r="F7" s="3" t="s">
        <v>8</v>
      </c>
      <c r="G7" s="3" t="s">
        <v>19</v>
      </c>
      <c r="H7" s="38" t="s">
        <v>10</v>
      </c>
      <c r="I7" s="3" t="s">
        <v>11</v>
      </c>
      <c r="J7" s="3" t="s">
        <v>12</v>
      </c>
    </row>
    <row r="8" spans="1:10" ht="18.75" x14ac:dyDescent="0.3">
      <c r="A8" s="11"/>
      <c r="B8" s="37"/>
      <c r="C8" s="3" t="s">
        <v>3</v>
      </c>
      <c r="D8" s="3" t="s">
        <v>1</v>
      </c>
      <c r="E8" s="4" t="s">
        <v>13</v>
      </c>
      <c r="F8" s="3" t="s">
        <v>2</v>
      </c>
      <c r="G8" s="3" t="s">
        <v>9</v>
      </c>
      <c r="H8" s="39" t="s">
        <v>4</v>
      </c>
      <c r="I8" s="3" t="s">
        <v>5</v>
      </c>
      <c r="J8" s="3" t="s">
        <v>6</v>
      </c>
    </row>
    <row r="9" spans="1:10" ht="18.75" x14ac:dyDescent="0.3">
      <c r="A9" s="11"/>
      <c r="B9" s="40"/>
      <c r="C9" s="8"/>
      <c r="D9" s="8"/>
      <c r="E9" s="8"/>
      <c r="F9" s="8"/>
      <c r="G9" s="8"/>
      <c r="H9" s="8"/>
      <c r="I9" s="8"/>
      <c r="J9" s="8"/>
    </row>
    <row r="10" spans="1:10" ht="18.75" x14ac:dyDescent="0.3">
      <c r="A10" s="12">
        <v>17</v>
      </c>
      <c r="B10" s="37">
        <v>46399</v>
      </c>
      <c r="C10" s="39" t="s">
        <v>4</v>
      </c>
      <c r="D10" s="3" t="s">
        <v>12</v>
      </c>
      <c r="E10" s="3" t="s">
        <v>2</v>
      </c>
      <c r="F10" s="3" t="s">
        <v>7</v>
      </c>
      <c r="G10" s="4" t="s">
        <v>13</v>
      </c>
      <c r="H10" s="4" t="s">
        <v>9</v>
      </c>
      <c r="I10" s="3" t="s">
        <v>5</v>
      </c>
      <c r="J10" s="3" t="s">
        <v>3</v>
      </c>
    </row>
    <row r="11" spans="1:10" ht="18.75" x14ac:dyDescent="0.3">
      <c r="A11" s="11"/>
      <c r="B11" s="37"/>
      <c r="C11" s="3" t="s">
        <v>6</v>
      </c>
      <c r="D11" s="38" t="s">
        <v>10</v>
      </c>
      <c r="E11" s="3" t="s">
        <v>1</v>
      </c>
      <c r="F11" s="3" t="s">
        <v>8</v>
      </c>
      <c r="G11" s="4" t="s">
        <v>19</v>
      </c>
      <c r="H11" s="4" t="s">
        <v>13</v>
      </c>
      <c r="I11" s="4" t="s">
        <v>13</v>
      </c>
      <c r="J11" s="3" t="s">
        <v>11</v>
      </c>
    </row>
    <row r="12" spans="1:10" ht="18.75" x14ac:dyDescent="0.3">
      <c r="A12" s="11"/>
      <c r="B12" s="40"/>
      <c r="C12" s="8"/>
      <c r="D12" s="8"/>
      <c r="E12" s="8"/>
      <c r="F12" s="8"/>
      <c r="G12" s="8"/>
      <c r="H12" s="8"/>
      <c r="I12" s="3"/>
      <c r="J12" s="3"/>
    </row>
    <row r="13" spans="1:10" ht="18.75" x14ac:dyDescent="0.3">
      <c r="A13" s="12">
        <v>18</v>
      </c>
      <c r="B13" s="37">
        <v>46406</v>
      </c>
      <c r="C13" s="3" t="s">
        <v>1</v>
      </c>
      <c r="D13" s="3" t="s">
        <v>9</v>
      </c>
      <c r="E13" s="4" t="s">
        <v>13</v>
      </c>
      <c r="F13" s="4" t="s">
        <v>8</v>
      </c>
      <c r="G13" s="39" t="s">
        <v>4</v>
      </c>
      <c r="H13" s="3" t="s">
        <v>11</v>
      </c>
      <c r="I13" s="3" t="s">
        <v>3</v>
      </c>
      <c r="J13" s="3" t="s">
        <v>6</v>
      </c>
    </row>
    <row r="14" spans="1:10" ht="18.75" x14ac:dyDescent="0.3">
      <c r="A14" s="11"/>
      <c r="B14" s="37"/>
      <c r="C14" s="3" t="s">
        <v>19</v>
      </c>
      <c r="D14" s="3" t="s">
        <v>7</v>
      </c>
      <c r="E14" s="4" t="s">
        <v>2</v>
      </c>
      <c r="F14" s="4" t="s">
        <v>13</v>
      </c>
      <c r="G14" s="3" t="s">
        <v>5</v>
      </c>
      <c r="H14" s="38" t="s">
        <v>10</v>
      </c>
      <c r="I14" s="3" t="s">
        <v>12</v>
      </c>
      <c r="J14" s="4" t="s">
        <v>13</v>
      </c>
    </row>
    <row r="15" spans="1:10" ht="18.75" x14ac:dyDescent="0.3">
      <c r="A15" s="11"/>
      <c r="B15" s="40"/>
      <c r="C15" s="8"/>
      <c r="D15" s="8"/>
      <c r="E15" s="8"/>
      <c r="F15" s="8"/>
      <c r="G15" s="8"/>
      <c r="H15" s="8"/>
      <c r="I15" s="3"/>
      <c r="J15" s="3"/>
    </row>
    <row r="16" spans="1:10" ht="18.75" x14ac:dyDescent="0.3">
      <c r="A16" s="12">
        <v>19</v>
      </c>
      <c r="B16" s="37">
        <v>46413</v>
      </c>
      <c r="C16" s="3" t="s">
        <v>2</v>
      </c>
      <c r="D16" s="3" t="s">
        <v>19</v>
      </c>
      <c r="E16" s="4" t="s">
        <v>6</v>
      </c>
      <c r="F16" s="4" t="s">
        <v>13</v>
      </c>
      <c r="G16" s="3" t="s">
        <v>5</v>
      </c>
      <c r="H16" s="3" t="s">
        <v>7</v>
      </c>
      <c r="I16" s="4" t="s">
        <v>13</v>
      </c>
      <c r="J16" s="38" t="s">
        <v>10</v>
      </c>
    </row>
    <row r="17" spans="1:10" ht="18.75" x14ac:dyDescent="0.3">
      <c r="A17" s="11"/>
      <c r="B17" s="41"/>
      <c r="C17" s="3" t="s">
        <v>9</v>
      </c>
      <c r="D17" s="3" t="s">
        <v>8</v>
      </c>
      <c r="E17" s="4" t="s">
        <v>13</v>
      </c>
      <c r="F17" s="4" t="s">
        <v>12</v>
      </c>
      <c r="G17" s="3" t="s">
        <v>1</v>
      </c>
      <c r="H17" s="3" t="s">
        <v>11</v>
      </c>
      <c r="I17" s="39" t="s">
        <v>4</v>
      </c>
      <c r="J17" s="3" t="s">
        <v>3</v>
      </c>
    </row>
    <row r="18" spans="1:10" ht="18.75" x14ac:dyDescent="0.3">
      <c r="A18" s="11"/>
      <c r="B18" s="40"/>
      <c r="C18" s="8"/>
      <c r="D18" s="8"/>
      <c r="E18" s="8"/>
      <c r="F18" s="8"/>
      <c r="G18" s="8"/>
      <c r="H18" s="8"/>
      <c r="I18" s="3"/>
      <c r="J18" s="3"/>
    </row>
    <row r="19" spans="1:10" ht="18.75" x14ac:dyDescent="0.3">
      <c r="A19" s="12">
        <v>20</v>
      </c>
      <c r="B19" s="37">
        <v>46420</v>
      </c>
      <c r="C19" s="4" t="s">
        <v>13</v>
      </c>
      <c r="D19" s="4" t="s">
        <v>11</v>
      </c>
      <c r="E19" s="3" t="s">
        <v>6</v>
      </c>
      <c r="F19" s="3" t="s">
        <v>1</v>
      </c>
      <c r="G19" s="39" t="s">
        <v>4</v>
      </c>
      <c r="H19" s="3" t="s">
        <v>9</v>
      </c>
      <c r="I19" s="3" t="s">
        <v>3</v>
      </c>
      <c r="J19" s="3" t="s">
        <v>8</v>
      </c>
    </row>
    <row r="20" spans="1:10" ht="18.75" x14ac:dyDescent="0.3">
      <c r="A20" s="11"/>
      <c r="B20" s="37"/>
      <c r="C20" s="4" t="s">
        <v>5</v>
      </c>
      <c r="D20" s="4" t="s">
        <v>13</v>
      </c>
      <c r="E20" s="3" t="s">
        <v>7</v>
      </c>
      <c r="F20" s="3" t="s">
        <v>12</v>
      </c>
      <c r="G20" s="3" t="s">
        <v>19</v>
      </c>
      <c r="H20" s="38" t="s">
        <v>10</v>
      </c>
      <c r="I20" s="3" t="s">
        <v>2</v>
      </c>
      <c r="J20" s="4" t="s">
        <v>13</v>
      </c>
    </row>
    <row r="21" spans="1:10" ht="18.75" x14ac:dyDescent="0.3">
      <c r="A21" s="11"/>
      <c r="B21" s="40"/>
      <c r="C21" s="8"/>
      <c r="D21" s="8"/>
      <c r="E21" s="8"/>
      <c r="F21" s="8"/>
      <c r="G21" s="8"/>
      <c r="H21" s="8"/>
      <c r="I21" s="3"/>
      <c r="J21" s="3"/>
    </row>
    <row r="22" spans="1:10" ht="18.75" x14ac:dyDescent="0.3">
      <c r="A22" s="12">
        <v>21</v>
      </c>
      <c r="B22" s="37">
        <v>46434</v>
      </c>
      <c r="C22" s="3" t="s">
        <v>5</v>
      </c>
      <c r="D22" s="3" t="s">
        <v>12</v>
      </c>
      <c r="E22" s="3" t="s">
        <v>2</v>
      </c>
      <c r="F22" s="38" t="s">
        <v>10</v>
      </c>
      <c r="G22" s="4" t="s">
        <v>1</v>
      </c>
      <c r="H22" s="4" t="s">
        <v>13</v>
      </c>
      <c r="I22" s="4" t="s">
        <v>13</v>
      </c>
      <c r="J22" s="3" t="s">
        <v>19</v>
      </c>
    </row>
    <row r="23" spans="1:10" ht="18.75" x14ac:dyDescent="0.3">
      <c r="A23" s="11"/>
      <c r="B23" s="42"/>
      <c r="C23" s="3" t="s">
        <v>6</v>
      </c>
      <c r="D23" s="3" t="s">
        <v>11</v>
      </c>
      <c r="E23" s="39" t="s">
        <v>4</v>
      </c>
      <c r="F23" s="3" t="s">
        <v>8</v>
      </c>
      <c r="G23" s="4" t="s">
        <v>13</v>
      </c>
      <c r="H23" s="4" t="s">
        <v>7</v>
      </c>
      <c r="I23" s="3" t="s">
        <v>9</v>
      </c>
      <c r="J23" s="3" t="s">
        <v>3</v>
      </c>
    </row>
    <row r="24" spans="1:10" ht="18.75" x14ac:dyDescent="0.3">
      <c r="A24" s="11"/>
      <c r="B24" s="43"/>
      <c r="C24" s="8"/>
      <c r="D24" s="8"/>
      <c r="E24" s="8"/>
      <c r="F24" s="8"/>
      <c r="G24" s="8"/>
      <c r="H24" s="8"/>
      <c r="I24" s="3"/>
      <c r="J24" s="3"/>
    </row>
    <row r="25" spans="1:10" ht="18.75" x14ac:dyDescent="0.3">
      <c r="A25" s="12">
        <v>22</v>
      </c>
      <c r="B25" s="37">
        <v>46441</v>
      </c>
      <c r="C25" s="3" t="s">
        <v>6</v>
      </c>
      <c r="D25" s="3" t="s">
        <v>19</v>
      </c>
      <c r="E25" s="3" t="s">
        <v>8</v>
      </c>
      <c r="F25" s="3" t="s">
        <v>5</v>
      </c>
      <c r="G25" s="3" t="s">
        <v>7</v>
      </c>
      <c r="H25" s="38" t="s">
        <v>10</v>
      </c>
      <c r="I25" s="4" t="s">
        <v>3</v>
      </c>
      <c r="J25" s="4" t="s">
        <v>13</v>
      </c>
    </row>
    <row r="26" spans="1:10" ht="18.75" x14ac:dyDescent="0.3">
      <c r="A26" s="11"/>
      <c r="B26" s="42" t="s">
        <v>15</v>
      </c>
      <c r="C26" s="3" t="s">
        <v>9</v>
      </c>
      <c r="D26" s="3" t="s">
        <v>12</v>
      </c>
      <c r="E26" s="3" t="s">
        <v>11</v>
      </c>
      <c r="F26" s="3" t="s">
        <v>2</v>
      </c>
      <c r="G26" s="39" t="s">
        <v>4</v>
      </c>
      <c r="H26" s="3" t="s">
        <v>1</v>
      </c>
      <c r="I26" s="4" t="s">
        <v>14</v>
      </c>
      <c r="J26" s="4" t="s">
        <v>17</v>
      </c>
    </row>
    <row r="27" spans="1:10" ht="18.75" x14ac:dyDescent="0.3">
      <c r="A27" s="11"/>
      <c r="B27" s="43"/>
      <c r="C27" s="8"/>
      <c r="D27" s="8"/>
      <c r="E27" s="8"/>
      <c r="F27" s="8"/>
      <c r="G27" s="8"/>
      <c r="H27" s="8"/>
      <c r="I27" s="3"/>
      <c r="J27" s="3"/>
    </row>
    <row r="28" spans="1:10" ht="18.75" x14ac:dyDescent="0.3">
      <c r="A28" s="12">
        <v>23</v>
      </c>
      <c r="B28" s="41">
        <v>46448</v>
      </c>
      <c r="C28" s="3" t="s">
        <v>2</v>
      </c>
      <c r="D28" s="3" t="s">
        <v>12</v>
      </c>
      <c r="E28" s="3" t="s">
        <v>9</v>
      </c>
      <c r="F28" s="3" t="s">
        <v>11</v>
      </c>
      <c r="G28" s="39" t="s">
        <v>4</v>
      </c>
      <c r="H28" s="4" t="s">
        <v>13</v>
      </c>
      <c r="I28" s="4" t="s">
        <v>13</v>
      </c>
      <c r="J28" s="3" t="s">
        <v>1</v>
      </c>
    </row>
    <row r="29" spans="1:10" ht="18.75" x14ac:dyDescent="0.3">
      <c r="A29" s="11"/>
      <c r="B29" s="44"/>
      <c r="C29" s="3" t="s">
        <v>6</v>
      </c>
      <c r="D29" s="3" t="s">
        <v>8</v>
      </c>
      <c r="E29" s="3" t="s">
        <v>5</v>
      </c>
      <c r="F29" s="3" t="s">
        <v>19</v>
      </c>
      <c r="G29" s="4" t="s">
        <v>13</v>
      </c>
      <c r="H29" s="38" t="s">
        <v>10</v>
      </c>
      <c r="I29" s="3" t="s">
        <v>7</v>
      </c>
      <c r="J29" s="3" t="s">
        <v>3</v>
      </c>
    </row>
    <row r="30" spans="1:10" ht="18.75" x14ac:dyDescent="0.3">
      <c r="A30" s="11"/>
      <c r="B30" s="43"/>
      <c r="C30" s="8"/>
      <c r="D30" s="8"/>
      <c r="E30" s="8"/>
      <c r="F30" s="8"/>
      <c r="G30" s="8"/>
      <c r="H30" s="8"/>
      <c r="I30" s="3"/>
      <c r="J30" s="3"/>
    </row>
    <row r="31" spans="1:10" ht="18.75" x14ac:dyDescent="0.3">
      <c r="A31" s="12">
        <v>24</v>
      </c>
      <c r="B31" s="37">
        <v>46455</v>
      </c>
      <c r="C31" s="39" t="s">
        <v>4</v>
      </c>
      <c r="D31" s="3" t="s">
        <v>6</v>
      </c>
      <c r="E31" s="3" t="s">
        <v>7</v>
      </c>
      <c r="F31" s="3" t="s">
        <v>8</v>
      </c>
      <c r="G31" s="4" t="s">
        <v>9</v>
      </c>
      <c r="H31" s="4" t="s">
        <v>13</v>
      </c>
      <c r="I31" s="4" t="s">
        <v>13</v>
      </c>
      <c r="J31" s="3" t="s">
        <v>5</v>
      </c>
    </row>
    <row r="32" spans="1:10" ht="18.75" x14ac:dyDescent="0.3">
      <c r="A32" s="11"/>
      <c r="B32" s="42"/>
      <c r="C32" s="3" t="s">
        <v>12</v>
      </c>
      <c r="D32" s="38" t="s">
        <v>10</v>
      </c>
      <c r="E32" s="3" t="s">
        <v>2</v>
      </c>
      <c r="F32" s="3" t="s">
        <v>1</v>
      </c>
      <c r="G32" s="4" t="s">
        <v>13</v>
      </c>
      <c r="H32" s="4" t="s">
        <v>19</v>
      </c>
      <c r="I32" s="3" t="s">
        <v>11</v>
      </c>
      <c r="J32" s="3" t="s">
        <v>3</v>
      </c>
    </row>
    <row r="33" spans="1:10" ht="18.75" x14ac:dyDescent="0.3">
      <c r="A33" s="11"/>
      <c r="B33" s="43"/>
      <c r="C33" s="8"/>
      <c r="D33" s="8"/>
      <c r="E33" s="8"/>
      <c r="F33" s="8"/>
      <c r="G33" s="8"/>
      <c r="H33" s="8"/>
      <c r="I33" s="3"/>
      <c r="J33" s="3"/>
    </row>
    <row r="34" spans="1:10" ht="18.75" x14ac:dyDescent="0.3">
      <c r="A34" s="12">
        <v>25</v>
      </c>
      <c r="B34" s="37">
        <v>46462</v>
      </c>
      <c r="C34" s="3" t="s">
        <v>1</v>
      </c>
      <c r="D34" s="3" t="s">
        <v>19</v>
      </c>
      <c r="E34" s="4" t="s">
        <v>13</v>
      </c>
      <c r="F34" s="4" t="s">
        <v>2</v>
      </c>
      <c r="G34" s="38" t="s">
        <v>10</v>
      </c>
      <c r="H34" s="3" t="s">
        <v>11</v>
      </c>
      <c r="I34" s="3" t="s">
        <v>3</v>
      </c>
      <c r="J34" s="3" t="s">
        <v>12</v>
      </c>
    </row>
    <row r="35" spans="1:10" ht="18.75" x14ac:dyDescent="0.3">
      <c r="A35" s="11"/>
      <c r="B35" s="42"/>
      <c r="C35" s="3" t="s">
        <v>9</v>
      </c>
      <c r="D35" s="3" t="s">
        <v>7</v>
      </c>
      <c r="E35" s="4" t="s">
        <v>8</v>
      </c>
      <c r="F35" s="4" t="s">
        <v>13</v>
      </c>
      <c r="G35" s="3" t="s">
        <v>5</v>
      </c>
      <c r="H35" s="39" t="s">
        <v>4</v>
      </c>
      <c r="I35" s="3" t="s">
        <v>6</v>
      </c>
      <c r="J35" s="4" t="s">
        <v>13</v>
      </c>
    </row>
    <row r="36" spans="1:10" ht="18.75" x14ac:dyDescent="0.3">
      <c r="A36" s="11"/>
      <c r="B36" s="43"/>
      <c r="C36" s="8"/>
      <c r="D36" s="8"/>
      <c r="E36" s="8"/>
      <c r="F36" s="8"/>
      <c r="G36" s="8"/>
      <c r="H36" s="8"/>
      <c r="I36" s="3"/>
      <c r="J36" s="3"/>
    </row>
    <row r="37" spans="1:10" ht="18.75" x14ac:dyDescent="0.3">
      <c r="A37" s="12">
        <v>26</v>
      </c>
      <c r="B37" s="37">
        <v>46469</v>
      </c>
      <c r="C37" s="3" t="s">
        <v>19</v>
      </c>
      <c r="D37" s="3" t="s">
        <v>8</v>
      </c>
      <c r="E37" s="4" t="s">
        <v>6</v>
      </c>
      <c r="F37" s="4" t="s">
        <v>13</v>
      </c>
      <c r="G37" s="3" t="s">
        <v>5</v>
      </c>
      <c r="H37" s="3" t="s">
        <v>1</v>
      </c>
      <c r="I37" s="4" t="s">
        <v>13</v>
      </c>
      <c r="J37" s="39" t="s">
        <v>4</v>
      </c>
    </row>
    <row r="38" spans="1:10" ht="18.75" x14ac:dyDescent="0.3">
      <c r="A38" s="11"/>
      <c r="B38" s="44"/>
      <c r="C38" s="3" t="s">
        <v>2</v>
      </c>
      <c r="D38" s="3" t="s">
        <v>9</v>
      </c>
      <c r="E38" s="4" t="s">
        <v>13</v>
      </c>
      <c r="F38" s="4" t="s">
        <v>12</v>
      </c>
      <c r="G38" s="3" t="s">
        <v>7</v>
      </c>
      <c r="H38" s="3" t="s">
        <v>11</v>
      </c>
      <c r="I38" s="38" t="s">
        <v>10</v>
      </c>
      <c r="J38" s="3" t="s">
        <v>3</v>
      </c>
    </row>
    <row r="39" spans="1:10" ht="18.75" x14ac:dyDescent="0.3">
      <c r="A39" s="11"/>
      <c r="B39" s="43"/>
      <c r="C39" s="8"/>
      <c r="D39" s="8"/>
      <c r="E39" s="8"/>
      <c r="F39" s="8"/>
      <c r="G39" s="8"/>
      <c r="H39" s="8"/>
      <c r="I39" s="3"/>
      <c r="J39" s="3"/>
    </row>
    <row r="40" spans="1:10" ht="18.75" x14ac:dyDescent="0.3">
      <c r="A40" s="12">
        <v>27</v>
      </c>
      <c r="B40" s="37">
        <v>46483</v>
      </c>
      <c r="C40" s="4" t="s">
        <v>13</v>
      </c>
      <c r="D40" s="4" t="s">
        <v>11</v>
      </c>
      <c r="E40" s="3" t="s">
        <v>7</v>
      </c>
      <c r="F40" s="3" t="s">
        <v>6</v>
      </c>
      <c r="G40" s="3" t="s">
        <v>9</v>
      </c>
      <c r="H40" s="38" t="s">
        <v>10</v>
      </c>
      <c r="I40" s="3" t="s">
        <v>2</v>
      </c>
      <c r="J40" s="3" t="s">
        <v>3</v>
      </c>
    </row>
    <row r="41" spans="1:10" ht="18.75" x14ac:dyDescent="0.3">
      <c r="A41" s="11"/>
      <c r="B41" s="42"/>
      <c r="C41" s="4" t="s">
        <v>5</v>
      </c>
      <c r="D41" s="4" t="s">
        <v>13</v>
      </c>
      <c r="E41" s="3" t="s">
        <v>12</v>
      </c>
      <c r="F41" s="3" t="s">
        <v>1</v>
      </c>
      <c r="G41" s="39" t="s">
        <v>4</v>
      </c>
      <c r="H41" s="3" t="s">
        <v>19</v>
      </c>
      <c r="I41" s="4" t="s">
        <v>13</v>
      </c>
      <c r="J41" s="3" t="s">
        <v>8</v>
      </c>
    </row>
    <row r="42" spans="1:10" ht="18.75" x14ac:dyDescent="0.3">
      <c r="A42" s="11"/>
      <c r="B42" s="43"/>
      <c r="C42" s="8"/>
      <c r="D42" s="8"/>
      <c r="E42" s="8"/>
      <c r="F42" s="8"/>
      <c r="G42" s="8"/>
      <c r="H42" s="8"/>
      <c r="I42" s="3"/>
      <c r="J42" s="3"/>
    </row>
    <row r="43" spans="1:10" ht="18.75" x14ac:dyDescent="0.3">
      <c r="A43" s="12">
        <v>28</v>
      </c>
      <c r="B43" s="37">
        <v>46490</v>
      </c>
      <c r="C43" s="3" t="s">
        <v>12</v>
      </c>
      <c r="D43" s="3" t="s">
        <v>11</v>
      </c>
      <c r="E43" s="39" t="s">
        <v>4</v>
      </c>
      <c r="F43" s="3" t="s">
        <v>2</v>
      </c>
      <c r="G43" s="4" t="s">
        <v>1</v>
      </c>
      <c r="H43" s="4" t="s">
        <v>13</v>
      </c>
      <c r="I43" s="4" t="s">
        <v>13</v>
      </c>
      <c r="J43" s="3" t="s">
        <v>9</v>
      </c>
    </row>
    <row r="44" spans="1:10" ht="18.75" x14ac:dyDescent="0.3">
      <c r="A44" s="11"/>
      <c r="B44" s="42"/>
      <c r="C44" s="3" t="s">
        <v>5</v>
      </c>
      <c r="D44" s="3" t="s">
        <v>6</v>
      </c>
      <c r="E44" s="3" t="s">
        <v>8</v>
      </c>
      <c r="F44" s="38" t="s">
        <v>10</v>
      </c>
      <c r="G44" s="4" t="s">
        <v>13</v>
      </c>
      <c r="H44" s="4" t="s">
        <v>7</v>
      </c>
      <c r="I44" s="3" t="s">
        <v>19</v>
      </c>
      <c r="J44" s="3" t="s">
        <v>3</v>
      </c>
    </row>
    <row r="45" spans="1:10" ht="18.75" x14ac:dyDescent="0.3">
      <c r="A45" s="11"/>
      <c r="B45" s="43"/>
      <c r="C45" s="8"/>
      <c r="D45" s="8"/>
      <c r="E45" s="8"/>
      <c r="F45" s="8"/>
      <c r="G45" s="8"/>
      <c r="H45" s="8"/>
      <c r="I45" s="3"/>
      <c r="J45" s="3"/>
    </row>
    <row r="46" spans="1:10" ht="18.75" x14ac:dyDescent="0.3">
      <c r="A46" s="12">
        <v>29</v>
      </c>
      <c r="B46" s="37">
        <v>46497</v>
      </c>
      <c r="C46" s="3" t="s">
        <v>9</v>
      </c>
      <c r="D46" s="3" t="s">
        <v>6</v>
      </c>
      <c r="E46" s="3" t="s">
        <v>2</v>
      </c>
      <c r="F46" s="3" t="s">
        <v>5</v>
      </c>
      <c r="G46" s="3" t="s">
        <v>1</v>
      </c>
      <c r="H46" s="38" t="s">
        <v>10</v>
      </c>
      <c r="I46" s="4" t="s">
        <v>3</v>
      </c>
      <c r="J46" s="4" t="s">
        <v>13</v>
      </c>
    </row>
    <row r="47" spans="1:10" ht="18.75" x14ac:dyDescent="0.3">
      <c r="A47" s="11"/>
      <c r="B47" s="42"/>
      <c r="C47" s="3" t="s">
        <v>12</v>
      </c>
      <c r="D47" s="3" t="s">
        <v>19</v>
      </c>
      <c r="E47" s="3" t="s">
        <v>11</v>
      </c>
      <c r="F47" s="3" t="s">
        <v>8</v>
      </c>
      <c r="G47" s="39" t="s">
        <v>4</v>
      </c>
      <c r="H47" s="3" t="s">
        <v>7</v>
      </c>
      <c r="I47" s="4" t="s">
        <v>13</v>
      </c>
      <c r="J47" s="4" t="s">
        <v>17</v>
      </c>
    </row>
    <row r="48" spans="1:10" ht="18.75" x14ac:dyDescent="0.3">
      <c r="A48" s="11"/>
      <c r="B48" s="43"/>
      <c r="C48" s="8"/>
      <c r="D48" s="8"/>
      <c r="E48" s="8"/>
      <c r="F48" s="8"/>
      <c r="G48" s="8"/>
      <c r="H48" s="8"/>
      <c r="I48" s="3"/>
      <c r="J48" s="3"/>
    </row>
    <row r="49" spans="1:10" ht="18.75" x14ac:dyDescent="0.3">
      <c r="A49" s="12">
        <v>30</v>
      </c>
      <c r="B49" s="41">
        <v>46146</v>
      </c>
      <c r="C49" s="3" t="s">
        <v>8</v>
      </c>
      <c r="D49" s="3" t="s">
        <v>12</v>
      </c>
      <c r="E49" s="39" t="s">
        <v>4</v>
      </c>
      <c r="F49" s="4" t="s">
        <v>13</v>
      </c>
      <c r="G49" s="3" t="s">
        <v>11</v>
      </c>
      <c r="H49" s="3" t="s">
        <v>19</v>
      </c>
      <c r="I49" s="4" t="s">
        <v>13</v>
      </c>
      <c r="J49" s="3" t="s">
        <v>7</v>
      </c>
    </row>
    <row r="50" spans="1:10" ht="18.75" x14ac:dyDescent="0.3">
      <c r="A50" s="11"/>
      <c r="B50" s="44"/>
      <c r="C50" s="3" t="s">
        <v>6</v>
      </c>
      <c r="D50" s="3" t="s">
        <v>2</v>
      </c>
      <c r="E50" s="4" t="s">
        <v>13</v>
      </c>
      <c r="F50" s="38" t="s">
        <v>10</v>
      </c>
      <c r="G50" s="3" t="s">
        <v>9</v>
      </c>
      <c r="H50" s="3" t="s">
        <v>5</v>
      </c>
      <c r="I50" s="3" t="s">
        <v>1</v>
      </c>
      <c r="J50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05D9-D8EF-4D62-9051-C898DA4A1717}">
  <dimension ref="A1:F28"/>
  <sheetViews>
    <sheetView workbookViewId="0">
      <selection activeCell="M8" sqref="M8"/>
    </sheetView>
  </sheetViews>
  <sheetFormatPr defaultRowHeight="15" x14ac:dyDescent="0.25"/>
  <cols>
    <col min="1" max="1" width="6.140625" customWidth="1"/>
    <col min="2" max="2" width="11.42578125" customWidth="1"/>
    <col min="3" max="3" width="12" customWidth="1"/>
    <col min="4" max="4" width="14.85546875" customWidth="1"/>
    <col min="5" max="5" width="21.5703125" customWidth="1"/>
    <col min="6" max="6" width="3.85546875" hidden="1" customWidth="1"/>
  </cols>
  <sheetData>
    <row r="1" spans="1:5" ht="17.25" thickBot="1" x14ac:dyDescent="0.3">
      <c r="B1" s="45" t="s">
        <v>27</v>
      </c>
      <c r="C1" s="46">
        <v>46301</v>
      </c>
      <c r="D1" s="47" t="s">
        <v>18</v>
      </c>
      <c r="E1" s="48">
        <v>5</v>
      </c>
    </row>
    <row r="2" spans="1:5" ht="17.25" thickBot="1" x14ac:dyDescent="0.3">
      <c r="B2" s="49" t="s">
        <v>28</v>
      </c>
      <c r="C2" s="50" t="s">
        <v>29</v>
      </c>
      <c r="D2" s="50" t="s">
        <v>30</v>
      </c>
      <c r="E2" s="51" t="s">
        <v>31</v>
      </c>
    </row>
    <row r="3" spans="1:5" ht="16.5" x14ac:dyDescent="0.25">
      <c r="B3" s="52" t="s">
        <v>5</v>
      </c>
      <c r="C3" s="53" t="s">
        <v>32</v>
      </c>
      <c r="D3" s="54" t="s">
        <v>33</v>
      </c>
      <c r="E3" s="55" t="s">
        <v>34</v>
      </c>
    </row>
    <row r="4" spans="1:5" ht="16.5" x14ac:dyDescent="0.25">
      <c r="B4" s="52" t="s">
        <v>32</v>
      </c>
      <c r="C4" s="56" t="s">
        <v>11</v>
      </c>
      <c r="D4" s="57" t="s">
        <v>33</v>
      </c>
      <c r="E4" s="58" t="s">
        <v>34</v>
      </c>
    </row>
    <row r="5" spans="1:5" ht="16.5" x14ac:dyDescent="0.25">
      <c r="B5" s="52" t="s">
        <v>7</v>
      </c>
      <c r="C5" s="53" t="s">
        <v>6</v>
      </c>
      <c r="D5" s="57" t="s">
        <v>35</v>
      </c>
      <c r="E5" s="58" t="s">
        <v>36</v>
      </c>
    </row>
    <row r="6" spans="1:5" ht="16.5" x14ac:dyDescent="0.25">
      <c r="B6" s="52" t="s">
        <v>12</v>
      </c>
      <c r="C6" s="53" t="s">
        <v>1</v>
      </c>
      <c r="D6" s="57" t="s">
        <v>37</v>
      </c>
      <c r="E6" s="58" t="s">
        <v>38</v>
      </c>
    </row>
    <row r="7" spans="1:5" ht="16.5" x14ac:dyDescent="0.25">
      <c r="B7" s="52" t="s">
        <v>19</v>
      </c>
      <c r="C7" s="53" t="s">
        <v>4</v>
      </c>
      <c r="D7" s="57" t="s">
        <v>39</v>
      </c>
      <c r="E7" s="58" t="s">
        <v>40</v>
      </c>
    </row>
    <row r="8" spans="1:5" ht="16.5" x14ac:dyDescent="0.25">
      <c r="B8" s="52" t="s">
        <v>10</v>
      </c>
      <c r="C8" s="53" t="s">
        <v>9</v>
      </c>
      <c r="D8" s="57" t="s">
        <v>41</v>
      </c>
      <c r="E8" s="58" t="s">
        <v>42</v>
      </c>
    </row>
    <row r="9" spans="1:5" ht="16.5" x14ac:dyDescent="0.25">
      <c r="B9" s="52" t="s">
        <v>2</v>
      </c>
      <c r="C9" s="53" t="s">
        <v>3</v>
      </c>
      <c r="D9" s="57" t="s">
        <v>33</v>
      </c>
      <c r="E9" s="58" t="s">
        <v>34</v>
      </c>
    </row>
    <row r="10" spans="1:5" ht="17.25" thickBot="1" x14ac:dyDescent="0.3">
      <c r="B10" s="59" t="s">
        <v>32</v>
      </c>
      <c r="C10" s="60" t="s">
        <v>8</v>
      </c>
      <c r="D10" s="61" t="s">
        <v>33</v>
      </c>
      <c r="E10" s="62" t="s">
        <v>34</v>
      </c>
    </row>
    <row r="11" spans="1:5" ht="15.75" thickBot="1" x14ac:dyDescent="0.3"/>
    <row r="12" spans="1:5" x14ac:dyDescent="0.25">
      <c r="A12" s="63" t="s">
        <v>43</v>
      </c>
      <c r="B12" s="64"/>
      <c r="C12" s="64"/>
      <c r="D12" s="64"/>
      <c r="E12" s="65"/>
    </row>
    <row r="13" spans="1:5" x14ac:dyDescent="0.25">
      <c r="A13" s="66"/>
      <c r="B13" s="67"/>
      <c r="C13" s="67"/>
      <c r="D13" s="67"/>
      <c r="E13" s="68"/>
    </row>
    <row r="14" spans="1:5" x14ac:dyDescent="0.25">
      <c r="A14" s="66"/>
      <c r="B14" s="67"/>
      <c r="C14" s="67"/>
      <c r="D14" s="67"/>
      <c r="E14" s="68"/>
    </row>
    <row r="15" spans="1:5" ht="30.75" thickBot="1" x14ac:dyDescent="0.3">
      <c r="A15" s="69" t="s">
        <v>44</v>
      </c>
      <c r="B15" s="69" t="s">
        <v>45</v>
      </c>
      <c r="C15" s="69" t="s">
        <v>46</v>
      </c>
      <c r="D15" s="69" t="s">
        <v>47</v>
      </c>
      <c r="E15" s="70" t="s">
        <v>48</v>
      </c>
    </row>
    <row r="16" spans="1:5" ht="16.5" x14ac:dyDescent="0.25">
      <c r="A16" s="71">
        <v>1</v>
      </c>
      <c r="B16" s="72" t="s">
        <v>7</v>
      </c>
      <c r="C16" s="73" t="s">
        <v>49</v>
      </c>
      <c r="D16" s="74">
        <v>264.24</v>
      </c>
      <c r="E16" s="75">
        <f>SUM(D16-D16)</f>
        <v>0</v>
      </c>
    </row>
    <row r="17" spans="1:5" ht="16.5" x14ac:dyDescent="0.25">
      <c r="A17" s="76">
        <v>2</v>
      </c>
      <c r="B17" s="77" t="s">
        <v>10</v>
      </c>
      <c r="C17" s="78" t="s">
        <v>50</v>
      </c>
      <c r="D17" s="79">
        <v>260.01</v>
      </c>
      <c r="E17" s="80">
        <f>SUM(D16-D17)</f>
        <v>4.2300000000000182</v>
      </c>
    </row>
    <row r="18" spans="1:5" ht="16.5" x14ac:dyDescent="0.25">
      <c r="A18" s="76">
        <v>3</v>
      </c>
      <c r="B18" s="81" t="s">
        <v>1</v>
      </c>
      <c r="C18" s="78" t="s">
        <v>50</v>
      </c>
      <c r="D18" s="79">
        <v>253.79</v>
      </c>
      <c r="E18" s="80">
        <f>SUM(D16-D18)</f>
        <v>10.450000000000017</v>
      </c>
    </row>
    <row r="19" spans="1:5" ht="16.5" x14ac:dyDescent="0.25">
      <c r="A19" s="76">
        <v>4</v>
      </c>
      <c r="B19" s="81" t="s">
        <v>9</v>
      </c>
      <c r="C19" s="78" t="s">
        <v>51</v>
      </c>
      <c r="D19" s="79">
        <v>219.44</v>
      </c>
      <c r="E19" s="80">
        <f>SUM(D16-D19)</f>
        <v>44.800000000000011</v>
      </c>
    </row>
    <row r="20" spans="1:5" ht="16.5" x14ac:dyDescent="0.25">
      <c r="A20" s="76">
        <v>5</v>
      </c>
      <c r="B20" s="82" t="s">
        <v>4</v>
      </c>
      <c r="C20" s="78" t="s">
        <v>51</v>
      </c>
      <c r="D20" s="79">
        <v>210.86</v>
      </c>
      <c r="E20" s="80">
        <f>SUM(D16-D20)</f>
        <v>53.379999999999995</v>
      </c>
    </row>
    <row r="21" spans="1:5" ht="16.5" x14ac:dyDescent="0.25">
      <c r="A21" s="76">
        <v>6</v>
      </c>
      <c r="B21" s="81" t="s">
        <v>12</v>
      </c>
      <c r="C21" s="78" t="s">
        <v>51</v>
      </c>
      <c r="D21" s="79">
        <v>207.33</v>
      </c>
      <c r="E21" s="80">
        <f>SUM(D16-D21)</f>
        <v>56.91</v>
      </c>
    </row>
    <row r="22" spans="1:5" ht="16.5" x14ac:dyDescent="0.25">
      <c r="A22" s="76">
        <v>7</v>
      </c>
      <c r="B22" s="81" t="s">
        <v>19</v>
      </c>
      <c r="C22" s="78" t="s">
        <v>51</v>
      </c>
      <c r="D22" s="79">
        <v>206.87</v>
      </c>
      <c r="E22" s="80">
        <f>SUM(D16-D22)</f>
        <v>57.370000000000005</v>
      </c>
    </row>
    <row r="23" spans="1:5" ht="16.5" x14ac:dyDescent="0.25">
      <c r="A23" s="76">
        <v>8</v>
      </c>
      <c r="B23" s="81" t="s">
        <v>11</v>
      </c>
      <c r="C23" s="78" t="s">
        <v>51</v>
      </c>
      <c r="D23" s="79">
        <v>204.86</v>
      </c>
      <c r="E23" s="80">
        <f>SUM(D16-D23)</f>
        <v>59.379999999999995</v>
      </c>
    </row>
    <row r="24" spans="1:5" ht="16.5" x14ac:dyDescent="0.25">
      <c r="A24" s="76">
        <v>9</v>
      </c>
      <c r="B24" s="81" t="s">
        <v>6</v>
      </c>
      <c r="C24" s="78" t="s">
        <v>52</v>
      </c>
      <c r="D24" s="79">
        <v>159.05000000000001</v>
      </c>
      <c r="E24" s="80">
        <f>SUM(D16-D24)</f>
        <v>105.19</v>
      </c>
    </row>
    <row r="25" spans="1:5" ht="16.5" x14ac:dyDescent="0.25">
      <c r="A25" s="76">
        <v>10</v>
      </c>
      <c r="B25" s="81" t="s">
        <v>8</v>
      </c>
      <c r="C25" s="78" t="s">
        <v>52</v>
      </c>
      <c r="D25" s="79">
        <v>153.41</v>
      </c>
      <c r="E25" s="80">
        <f>SUM(D16-D25)</f>
        <v>110.83000000000001</v>
      </c>
    </row>
    <row r="26" spans="1:5" ht="16.5" x14ac:dyDescent="0.25">
      <c r="A26" s="76">
        <v>11</v>
      </c>
      <c r="B26" s="81" t="s">
        <v>3</v>
      </c>
      <c r="C26" s="78" t="s">
        <v>52</v>
      </c>
      <c r="D26" s="79">
        <v>151.38999999999999</v>
      </c>
      <c r="E26" s="80">
        <f>SUM(D16-D26)</f>
        <v>112.85000000000002</v>
      </c>
    </row>
    <row r="27" spans="1:5" ht="16.5" x14ac:dyDescent="0.25">
      <c r="A27" s="76">
        <v>12</v>
      </c>
      <c r="B27" s="81" t="s">
        <v>5</v>
      </c>
      <c r="C27" s="78" t="s">
        <v>52</v>
      </c>
      <c r="D27" s="79">
        <v>146.82</v>
      </c>
      <c r="E27" s="80">
        <f>SUM(D16-D27)</f>
        <v>117.42000000000002</v>
      </c>
    </row>
    <row r="28" spans="1:5" ht="17.25" thickBot="1" x14ac:dyDescent="0.3">
      <c r="A28" s="83">
        <v>13</v>
      </c>
      <c r="B28" s="84" t="s">
        <v>2</v>
      </c>
      <c r="C28" s="85" t="s">
        <v>52</v>
      </c>
      <c r="D28" s="86">
        <v>144.75</v>
      </c>
      <c r="E28" s="87">
        <f>SUM(D16-D28)</f>
        <v>119.49000000000001</v>
      </c>
    </row>
  </sheetData>
  <mergeCells count="1">
    <mergeCell ref="A12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7BF9-F506-4B08-A1D8-E77D506E98CC}">
  <dimension ref="A1:AI32"/>
  <sheetViews>
    <sheetView tabSelected="1" topLeftCell="A4" workbookViewId="0">
      <selection sqref="A1:AJ32"/>
    </sheetView>
  </sheetViews>
  <sheetFormatPr defaultRowHeight="15" x14ac:dyDescent="0.25"/>
  <sheetData>
    <row r="1" spans="1:35" ht="15.75" thickBot="1" x14ac:dyDescent="0.3">
      <c r="A1" s="88" t="s">
        <v>53</v>
      </c>
      <c r="B1" s="89">
        <v>46273</v>
      </c>
      <c r="C1" s="89">
        <v>46280</v>
      </c>
      <c r="D1" s="89">
        <v>45922</v>
      </c>
      <c r="E1" s="89">
        <v>46294</v>
      </c>
      <c r="F1" s="89">
        <v>46301</v>
      </c>
      <c r="G1" s="89">
        <v>46308</v>
      </c>
      <c r="H1" s="89">
        <v>46315</v>
      </c>
      <c r="I1" s="89">
        <v>46329</v>
      </c>
      <c r="J1" s="89">
        <v>46336</v>
      </c>
      <c r="K1" s="89">
        <v>46343</v>
      </c>
      <c r="L1" s="89">
        <v>46350</v>
      </c>
      <c r="M1" s="89">
        <v>46357</v>
      </c>
      <c r="N1" s="90">
        <v>46364</v>
      </c>
      <c r="O1" s="89">
        <v>46392</v>
      </c>
      <c r="P1" s="89">
        <v>46399</v>
      </c>
      <c r="Q1" s="89">
        <v>46406</v>
      </c>
      <c r="R1" s="89">
        <v>46413</v>
      </c>
      <c r="S1" s="89">
        <v>46420</v>
      </c>
      <c r="T1" s="89">
        <v>46434</v>
      </c>
      <c r="U1" s="89">
        <v>46441</v>
      </c>
      <c r="V1" s="89">
        <v>46455</v>
      </c>
      <c r="W1" s="89">
        <v>46462</v>
      </c>
      <c r="X1" s="89">
        <v>46469</v>
      </c>
      <c r="Y1" s="89">
        <v>46483</v>
      </c>
      <c r="Z1" s="89">
        <v>46490</v>
      </c>
      <c r="AA1" s="89">
        <v>46497</v>
      </c>
      <c r="AB1" s="91" t="s">
        <v>54</v>
      </c>
      <c r="AC1" s="92" t="s">
        <v>55</v>
      </c>
      <c r="AD1" s="92" t="s">
        <v>56</v>
      </c>
      <c r="AE1" s="93" t="s">
        <v>57</v>
      </c>
      <c r="AF1" s="94" t="s">
        <v>58</v>
      </c>
      <c r="AG1" s="95" t="s">
        <v>59</v>
      </c>
      <c r="AH1" s="96" t="s">
        <v>60</v>
      </c>
    </row>
    <row r="2" spans="1:35" ht="15.75" thickBot="1" x14ac:dyDescent="0.3">
      <c r="A2" s="97" t="s">
        <v>61</v>
      </c>
      <c r="B2" s="98" t="s">
        <v>62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0"/>
      <c r="O2" s="98" t="s">
        <v>62</v>
      </c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1"/>
      <c r="AB2" s="102"/>
      <c r="AC2" s="103"/>
      <c r="AD2" s="103"/>
      <c r="AE2" s="104"/>
      <c r="AF2" s="105"/>
      <c r="AG2" s="106"/>
      <c r="AH2" s="107"/>
      <c r="AI2" s="97" t="s">
        <v>61</v>
      </c>
    </row>
    <row r="3" spans="1:35" x14ac:dyDescent="0.25">
      <c r="A3" s="108" t="s">
        <v>63</v>
      </c>
      <c r="B3" s="109">
        <v>1.61</v>
      </c>
      <c r="C3" s="109">
        <v>1.63</v>
      </c>
      <c r="D3" s="109">
        <v>4.09</v>
      </c>
      <c r="E3" s="110"/>
      <c r="F3" s="109">
        <v>1.73</v>
      </c>
      <c r="G3" s="109"/>
      <c r="H3" s="109"/>
      <c r="I3" s="109"/>
      <c r="J3" s="109"/>
      <c r="K3" s="109"/>
      <c r="L3" s="109"/>
      <c r="M3" s="109"/>
      <c r="N3" s="111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12"/>
      <c r="AB3" s="113">
        <f t="shared" ref="AB3:AB8" si="0">AVERAGE(B3:Z3)</f>
        <v>2.2650000000000001</v>
      </c>
      <c r="AC3" s="112" t="e">
        <f>(AB3*10)/[1]Percentage!#REF!</f>
        <v>#REF!</v>
      </c>
      <c r="AD3" s="112" t="e">
        <f t="shared" ref="AD3:AD8" si="1">AB3+AC3</f>
        <v>#REF!</v>
      </c>
      <c r="AE3" s="114" t="e">
        <f>(AD3*25)+5</f>
        <v>#REF!</v>
      </c>
      <c r="AF3" s="115" t="e">
        <f t="shared" ref="AF3:AF29" si="2">ROUNDDOWN(AE3,0)</f>
        <v>#REF!</v>
      </c>
      <c r="AG3" s="116">
        <v>45</v>
      </c>
      <c r="AH3" s="117" t="e">
        <f>AF3-AG3</f>
        <v>#REF!</v>
      </c>
      <c r="AI3" s="108" t="s">
        <v>63</v>
      </c>
    </row>
    <row r="4" spans="1:35" x14ac:dyDescent="0.25">
      <c r="A4" s="108" t="s">
        <v>64</v>
      </c>
      <c r="B4" s="109">
        <v>1.61</v>
      </c>
      <c r="C4" s="109">
        <v>1.67</v>
      </c>
      <c r="D4" s="109">
        <v>2.65</v>
      </c>
      <c r="E4" s="110"/>
      <c r="F4" s="109">
        <v>1.56</v>
      </c>
      <c r="G4" s="109"/>
      <c r="H4" s="109"/>
      <c r="I4" s="109"/>
      <c r="J4" s="109"/>
      <c r="K4" s="109"/>
      <c r="L4" s="109"/>
      <c r="M4" s="109"/>
      <c r="N4" s="111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12"/>
      <c r="AB4" s="113">
        <f t="shared" si="0"/>
        <v>1.8725000000000001</v>
      </c>
      <c r="AC4" s="112">
        <f>(AB4*10)/[1]Percentage!A1</f>
        <v>9.3625000000000014E-2</v>
      </c>
      <c r="AD4" s="112">
        <f t="shared" si="1"/>
        <v>1.9661250000000001</v>
      </c>
      <c r="AE4" s="114">
        <f t="shared" ref="AE4:AE8" si="3">(AD4*25)+5</f>
        <v>54.153125000000003</v>
      </c>
      <c r="AF4" s="118">
        <f t="shared" si="2"/>
        <v>54</v>
      </c>
      <c r="AG4" s="119">
        <v>45</v>
      </c>
      <c r="AH4" s="120">
        <f t="shared" ref="AH4:AH29" si="4">AF4-AG4</f>
        <v>9</v>
      </c>
      <c r="AI4" s="108" t="s">
        <v>64</v>
      </c>
    </row>
    <row r="5" spans="1:35" x14ac:dyDescent="0.25">
      <c r="A5" s="108" t="s">
        <v>65</v>
      </c>
      <c r="B5" s="110"/>
      <c r="C5" s="110"/>
      <c r="D5" s="110"/>
      <c r="E5" s="110"/>
      <c r="F5" s="109">
        <v>0.88</v>
      </c>
      <c r="G5" s="109"/>
      <c r="H5" s="109"/>
      <c r="I5" s="109"/>
      <c r="J5" s="109"/>
      <c r="K5" s="109"/>
      <c r="L5" s="109"/>
      <c r="M5" s="109"/>
      <c r="N5" s="111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12"/>
      <c r="AB5" s="113">
        <f t="shared" si="0"/>
        <v>0.88</v>
      </c>
      <c r="AC5" s="112">
        <f>(AB5*10)/[1]Percentage!A2</f>
        <v>4.4000000000000004E-2</v>
      </c>
      <c r="AD5" s="112">
        <f t="shared" si="1"/>
        <v>0.92400000000000004</v>
      </c>
      <c r="AE5" s="114">
        <f t="shared" si="3"/>
        <v>28.1</v>
      </c>
      <c r="AF5" s="118">
        <f>ROUNDDOWN(AE5,0)</f>
        <v>28</v>
      </c>
      <c r="AG5" s="119">
        <v>43</v>
      </c>
      <c r="AH5" s="120">
        <f t="shared" si="4"/>
        <v>-15</v>
      </c>
      <c r="AI5" s="108" t="s">
        <v>65</v>
      </c>
    </row>
    <row r="6" spans="1:35" x14ac:dyDescent="0.25">
      <c r="A6" s="108" t="s">
        <v>66</v>
      </c>
      <c r="B6" s="109">
        <v>0.71</v>
      </c>
      <c r="C6" s="110"/>
      <c r="D6" s="109">
        <v>1.88</v>
      </c>
      <c r="E6" s="110"/>
      <c r="F6" s="109">
        <v>1.03</v>
      </c>
      <c r="G6" s="109"/>
      <c r="H6" s="109"/>
      <c r="I6" s="109"/>
      <c r="J6" s="109"/>
      <c r="K6" s="109"/>
      <c r="L6" s="109"/>
      <c r="M6" s="109"/>
      <c r="N6" s="111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12"/>
      <c r="AB6" s="113">
        <f t="shared" si="0"/>
        <v>1.2066666666666668</v>
      </c>
      <c r="AC6" s="112">
        <f>(AB6*10)/[1]Percentage!A3</f>
        <v>6.0333333333333343E-2</v>
      </c>
      <c r="AD6" s="112">
        <f t="shared" si="1"/>
        <v>1.2670000000000001</v>
      </c>
      <c r="AE6" s="114">
        <f t="shared" si="3"/>
        <v>36.675000000000004</v>
      </c>
      <c r="AF6" s="118">
        <f t="shared" si="2"/>
        <v>36</v>
      </c>
      <c r="AG6" s="119">
        <v>32</v>
      </c>
      <c r="AH6" s="120">
        <f t="shared" si="4"/>
        <v>4</v>
      </c>
      <c r="AI6" s="108" t="s">
        <v>66</v>
      </c>
    </row>
    <row r="7" spans="1:35" x14ac:dyDescent="0.25">
      <c r="A7" s="108" t="s">
        <v>67</v>
      </c>
      <c r="B7" s="121"/>
      <c r="C7" s="122"/>
      <c r="D7" s="109">
        <v>1.1299999999999999</v>
      </c>
      <c r="E7" s="110"/>
      <c r="F7" s="109">
        <v>1</v>
      </c>
      <c r="G7" s="109"/>
      <c r="H7" s="109"/>
      <c r="I7" s="109"/>
      <c r="J7" s="109"/>
      <c r="K7" s="109"/>
      <c r="L7" s="109"/>
      <c r="M7" s="109"/>
      <c r="N7" s="111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12"/>
      <c r="AB7" s="113">
        <f t="shared" si="0"/>
        <v>1.0649999999999999</v>
      </c>
      <c r="AC7" s="112">
        <f>(AB7*10)/[1]Percentage!A4</f>
        <v>5.3249999999999992E-2</v>
      </c>
      <c r="AD7" s="112">
        <f t="shared" si="1"/>
        <v>1.11825</v>
      </c>
      <c r="AE7" s="114">
        <f t="shared" si="3"/>
        <v>32.956249999999997</v>
      </c>
      <c r="AF7" s="118">
        <f t="shared" si="2"/>
        <v>32</v>
      </c>
      <c r="AG7" s="119">
        <v>31</v>
      </c>
      <c r="AH7" s="120">
        <f t="shared" si="4"/>
        <v>1</v>
      </c>
      <c r="AI7" s="108" t="s">
        <v>67</v>
      </c>
    </row>
    <row r="8" spans="1:35" x14ac:dyDescent="0.25">
      <c r="A8" s="108" t="s">
        <v>68</v>
      </c>
      <c r="B8" s="109">
        <v>1.3</v>
      </c>
      <c r="C8" s="109">
        <v>1</v>
      </c>
      <c r="D8" s="109">
        <v>1.1499999999999999</v>
      </c>
      <c r="E8" s="110"/>
      <c r="F8" s="109">
        <v>1.1299999999999999</v>
      </c>
      <c r="G8" s="109"/>
      <c r="H8" s="109"/>
      <c r="I8" s="109"/>
      <c r="J8" s="109"/>
      <c r="K8" s="109"/>
      <c r="L8" s="109"/>
      <c r="M8" s="109"/>
      <c r="N8" s="111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12"/>
      <c r="AB8" s="113">
        <f t="shared" si="0"/>
        <v>1.145</v>
      </c>
      <c r="AC8" s="112">
        <f>(AB8*10)/[1]Percentage!A5</f>
        <v>5.7249999999999995E-2</v>
      </c>
      <c r="AD8" s="112">
        <f t="shared" si="1"/>
        <v>1.20225</v>
      </c>
      <c r="AE8" s="114">
        <f t="shared" si="3"/>
        <v>35.056250000000006</v>
      </c>
      <c r="AF8" s="118">
        <f t="shared" si="2"/>
        <v>35</v>
      </c>
      <c r="AG8" s="119">
        <v>30</v>
      </c>
      <c r="AH8" s="120">
        <f t="shared" si="4"/>
        <v>5</v>
      </c>
      <c r="AI8" s="108" t="s">
        <v>68</v>
      </c>
    </row>
    <row r="9" spans="1:35" x14ac:dyDescent="0.25">
      <c r="A9" s="123" t="s">
        <v>69</v>
      </c>
      <c r="B9" s="124" t="s">
        <v>62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4" t="s">
        <v>62</v>
      </c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6"/>
      <c r="AB9" s="127"/>
      <c r="AC9" s="127"/>
      <c r="AD9" s="127"/>
      <c r="AE9" s="127"/>
      <c r="AF9" s="128"/>
      <c r="AG9" s="129"/>
      <c r="AH9" s="128"/>
      <c r="AI9" s="123" t="s">
        <v>69</v>
      </c>
    </row>
    <row r="10" spans="1:35" x14ac:dyDescent="0.25">
      <c r="A10" s="108" t="s">
        <v>70</v>
      </c>
      <c r="B10" s="109">
        <v>2.36</v>
      </c>
      <c r="C10" s="109">
        <v>3.76</v>
      </c>
      <c r="D10" s="130"/>
      <c r="E10" s="109">
        <v>1.59</v>
      </c>
      <c r="F10" s="109">
        <v>1.8</v>
      </c>
      <c r="G10" s="109"/>
      <c r="H10" s="109"/>
      <c r="I10" s="109"/>
      <c r="J10" s="109"/>
      <c r="K10" s="109"/>
      <c r="L10" s="109"/>
      <c r="M10" s="109"/>
      <c r="N10" s="111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31">
        <f t="shared" ref="AB10:AB15" si="5">AVERAGE(B10:Z10)</f>
        <v>2.3774999999999999</v>
      </c>
      <c r="AC10" s="109">
        <f>(AB10*10)/[1]Percentage!A7</f>
        <v>0.11887499999999999</v>
      </c>
      <c r="AD10" s="109">
        <f t="shared" ref="AD10:AD15" si="6">AB10+AC10</f>
        <v>2.496375</v>
      </c>
      <c r="AE10" s="114">
        <f>(AD10*25)+5</f>
        <v>67.409374999999997</v>
      </c>
      <c r="AF10" s="118">
        <f t="shared" si="2"/>
        <v>67</v>
      </c>
      <c r="AG10" s="119">
        <v>79</v>
      </c>
      <c r="AH10" s="120">
        <f t="shared" si="4"/>
        <v>-12</v>
      </c>
      <c r="AI10" s="108" t="s">
        <v>70</v>
      </c>
    </row>
    <row r="11" spans="1:35" x14ac:dyDescent="0.25">
      <c r="A11" s="108" t="s">
        <v>71</v>
      </c>
      <c r="B11" s="109">
        <v>1.07</v>
      </c>
      <c r="C11" s="109">
        <v>1.32</v>
      </c>
      <c r="D11" s="132">
        <v>1.67</v>
      </c>
      <c r="E11" s="109">
        <v>1.42</v>
      </c>
      <c r="F11" s="109">
        <v>1.45</v>
      </c>
      <c r="G11" s="109"/>
      <c r="H11" s="109"/>
      <c r="I11" s="109"/>
      <c r="J11" s="109"/>
      <c r="K11" s="109"/>
      <c r="L11" s="109"/>
      <c r="M11" s="109"/>
      <c r="N11" s="111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31">
        <f t="shared" si="5"/>
        <v>1.3860000000000001</v>
      </c>
      <c r="AC11" s="109">
        <f>(AB11*10)/[1]Percentage!A8</f>
        <v>6.93E-2</v>
      </c>
      <c r="AD11" s="109">
        <f t="shared" si="6"/>
        <v>1.4553</v>
      </c>
      <c r="AE11" s="114">
        <f t="shared" ref="AE11:AE15" si="7">(AD11*25)+5</f>
        <v>41.3825</v>
      </c>
      <c r="AF11" s="118">
        <f t="shared" si="2"/>
        <v>41</v>
      </c>
      <c r="AG11" s="119">
        <v>45</v>
      </c>
      <c r="AH11" s="120">
        <f t="shared" si="4"/>
        <v>-4</v>
      </c>
      <c r="AI11" s="108" t="s">
        <v>72</v>
      </c>
    </row>
    <row r="12" spans="1:35" x14ac:dyDescent="0.25">
      <c r="A12" s="108" t="s">
        <v>73</v>
      </c>
      <c r="B12" s="133"/>
      <c r="C12" s="109">
        <v>1.75</v>
      </c>
      <c r="D12" s="132">
        <v>2.4700000000000002</v>
      </c>
      <c r="E12" s="109">
        <v>1.68</v>
      </c>
      <c r="F12" s="109">
        <v>0.97</v>
      </c>
      <c r="G12" s="109"/>
      <c r="H12" s="109"/>
      <c r="I12" s="109"/>
      <c r="J12" s="109"/>
      <c r="K12" s="109"/>
      <c r="L12" s="109"/>
      <c r="M12" s="109"/>
      <c r="N12" s="111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31">
        <f t="shared" si="5"/>
        <v>1.7175</v>
      </c>
      <c r="AC12" s="109">
        <f>(AB12*10)/[1]Percentage!A9</f>
        <v>8.5875000000000007E-2</v>
      </c>
      <c r="AD12" s="109">
        <f t="shared" si="6"/>
        <v>1.803375</v>
      </c>
      <c r="AE12" s="114">
        <f t="shared" si="7"/>
        <v>50.084375000000001</v>
      </c>
      <c r="AF12" s="118">
        <f t="shared" si="2"/>
        <v>50</v>
      </c>
      <c r="AG12" s="119">
        <v>42</v>
      </c>
      <c r="AH12" s="120">
        <f t="shared" si="4"/>
        <v>8</v>
      </c>
      <c r="AI12" s="108" t="s">
        <v>73</v>
      </c>
    </row>
    <row r="13" spans="1:35" x14ac:dyDescent="0.25">
      <c r="A13" s="108" t="s">
        <v>74</v>
      </c>
      <c r="B13" s="109">
        <v>1.17</v>
      </c>
      <c r="C13" s="109">
        <v>1.03</v>
      </c>
      <c r="D13" s="132">
        <v>1</v>
      </c>
      <c r="E13" s="109">
        <v>1.1299999999999999</v>
      </c>
      <c r="F13" s="109">
        <v>1</v>
      </c>
      <c r="G13" s="109"/>
      <c r="H13" s="109"/>
      <c r="I13" s="109"/>
      <c r="J13" s="109"/>
      <c r="K13" s="109"/>
      <c r="L13" s="109"/>
      <c r="M13" s="109"/>
      <c r="N13" s="111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31">
        <f t="shared" si="5"/>
        <v>1.0660000000000001</v>
      </c>
      <c r="AC13" s="109">
        <f>(AB13*10)/[1]Percentage!A10</f>
        <v>5.33E-2</v>
      </c>
      <c r="AD13" s="109">
        <f t="shared" si="6"/>
        <v>1.1193</v>
      </c>
      <c r="AE13" s="114">
        <f t="shared" si="7"/>
        <v>32.982500000000002</v>
      </c>
      <c r="AF13" s="118">
        <f t="shared" si="2"/>
        <v>32</v>
      </c>
      <c r="AG13" s="119">
        <v>37</v>
      </c>
      <c r="AH13" s="120">
        <f t="shared" si="4"/>
        <v>-5</v>
      </c>
      <c r="AI13" s="108" t="s">
        <v>74</v>
      </c>
    </row>
    <row r="14" spans="1:35" x14ac:dyDescent="0.25">
      <c r="A14" s="108" t="s">
        <v>75</v>
      </c>
      <c r="B14" s="109">
        <v>0.78</v>
      </c>
      <c r="C14" s="109">
        <v>0.81</v>
      </c>
      <c r="D14" s="132">
        <v>0.85</v>
      </c>
      <c r="E14" s="109">
        <v>1.26</v>
      </c>
      <c r="F14" s="109">
        <v>1</v>
      </c>
      <c r="G14" s="109"/>
      <c r="H14" s="109"/>
      <c r="I14" s="109"/>
      <c r="J14" s="109"/>
      <c r="K14" s="109"/>
      <c r="L14" s="109"/>
      <c r="M14" s="109"/>
      <c r="N14" s="111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31">
        <f t="shared" si="5"/>
        <v>0.94000000000000006</v>
      </c>
      <c r="AC14" s="109">
        <f>(AB14*10)/[1]Percentage!A11</f>
        <v>4.7E-2</v>
      </c>
      <c r="AD14" s="109">
        <f t="shared" si="6"/>
        <v>0.9870000000000001</v>
      </c>
      <c r="AE14" s="114">
        <f t="shared" si="7"/>
        <v>29.675000000000004</v>
      </c>
      <c r="AF14" s="118">
        <f t="shared" si="2"/>
        <v>29</v>
      </c>
      <c r="AG14" s="119">
        <v>29</v>
      </c>
      <c r="AH14" s="120">
        <f t="shared" si="4"/>
        <v>0</v>
      </c>
      <c r="AI14" s="108" t="s">
        <v>75</v>
      </c>
    </row>
    <row r="15" spans="1:35" x14ac:dyDescent="0.25">
      <c r="A15" s="108" t="s">
        <v>76</v>
      </c>
      <c r="B15" s="110"/>
      <c r="C15" s="110"/>
      <c r="D15" s="132">
        <v>0.83</v>
      </c>
      <c r="E15" s="109">
        <v>1.41</v>
      </c>
      <c r="F15" s="109">
        <v>0.5</v>
      </c>
      <c r="G15" s="109"/>
      <c r="H15" s="109"/>
      <c r="I15" s="109"/>
      <c r="J15" s="109"/>
      <c r="K15" s="109"/>
      <c r="L15" s="109"/>
      <c r="M15" s="109"/>
      <c r="N15" s="111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31">
        <f t="shared" si="5"/>
        <v>0.91333333333333322</v>
      </c>
      <c r="AC15" s="109">
        <f>(AB15*10)/[1]Percentage!A12</f>
        <v>4.5666666666666661E-2</v>
      </c>
      <c r="AD15" s="109">
        <f t="shared" si="6"/>
        <v>0.95899999999999985</v>
      </c>
      <c r="AE15" s="114">
        <f t="shared" si="7"/>
        <v>28.974999999999998</v>
      </c>
      <c r="AF15" s="118">
        <f t="shared" si="2"/>
        <v>28</v>
      </c>
      <c r="AG15" s="119">
        <v>29</v>
      </c>
      <c r="AH15" s="120">
        <f t="shared" si="4"/>
        <v>-1</v>
      </c>
      <c r="AI15" s="108" t="s">
        <v>76</v>
      </c>
    </row>
    <row r="16" spans="1:35" x14ac:dyDescent="0.25">
      <c r="B16" s="134"/>
      <c r="C16" s="134"/>
      <c r="D16" s="135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6"/>
      <c r="AC16" s="137"/>
      <c r="AD16" s="137"/>
      <c r="AE16" s="138"/>
      <c r="AF16" s="139"/>
      <c r="AG16" s="140"/>
      <c r="AH16" s="139"/>
    </row>
    <row r="17" spans="1:35" ht="15.75" thickBot="1" x14ac:dyDescent="0.3">
      <c r="B17" s="134"/>
      <c r="C17" s="134"/>
      <c r="D17" s="135"/>
      <c r="E17" s="134"/>
      <c r="F17" s="134"/>
      <c r="G17" s="134"/>
      <c r="H17" s="134"/>
      <c r="I17" s="134"/>
      <c r="J17" s="134"/>
      <c r="K17" s="134"/>
      <c r="L17" s="134"/>
      <c r="M17" s="134"/>
      <c r="N17" s="141" t="s">
        <v>77</v>
      </c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6"/>
      <c r="AC17" s="137"/>
      <c r="AD17" s="137"/>
      <c r="AE17" s="138"/>
      <c r="AF17" s="139"/>
      <c r="AG17" s="140"/>
      <c r="AH17" s="139"/>
    </row>
    <row r="18" spans="1:35" ht="15.75" thickBot="1" x14ac:dyDescent="0.3">
      <c r="A18" s="88" t="s">
        <v>53</v>
      </c>
      <c r="B18" s="89">
        <v>46273</v>
      </c>
      <c r="C18" s="89">
        <v>46280</v>
      </c>
      <c r="D18" s="89">
        <v>45922</v>
      </c>
      <c r="E18" s="89">
        <v>46294</v>
      </c>
      <c r="F18" s="89">
        <v>46301</v>
      </c>
      <c r="G18" s="89">
        <v>46308</v>
      </c>
      <c r="H18" s="89">
        <v>46315</v>
      </c>
      <c r="I18" s="89">
        <v>46329</v>
      </c>
      <c r="J18" s="89">
        <v>46336</v>
      </c>
      <c r="K18" s="89">
        <v>46343</v>
      </c>
      <c r="L18" s="89">
        <v>46350</v>
      </c>
      <c r="M18" s="89">
        <v>46357</v>
      </c>
      <c r="N18" s="90">
        <v>46364</v>
      </c>
      <c r="O18" s="89">
        <v>46392</v>
      </c>
      <c r="P18" s="89">
        <v>46399</v>
      </c>
      <c r="Q18" s="89">
        <v>46406</v>
      </c>
      <c r="R18" s="89">
        <v>46413</v>
      </c>
      <c r="S18" s="89">
        <v>46420</v>
      </c>
      <c r="T18" s="89">
        <v>46434</v>
      </c>
      <c r="U18" s="89">
        <v>46441</v>
      </c>
      <c r="V18" s="89">
        <v>46455</v>
      </c>
      <c r="W18" s="89">
        <v>46462</v>
      </c>
      <c r="X18" s="89">
        <v>46469</v>
      </c>
      <c r="Y18" s="89">
        <v>46483</v>
      </c>
      <c r="Z18" s="89">
        <v>46490</v>
      </c>
      <c r="AA18" s="89">
        <v>46497</v>
      </c>
      <c r="AB18" s="91" t="s">
        <v>54</v>
      </c>
      <c r="AC18" s="92" t="s">
        <v>55</v>
      </c>
      <c r="AD18" s="92" t="s">
        <v>56</v>
      </c>
      <c r="AE18" s="93" t="s">
        <v>57</v>
      </c>
      <c r="AF18" s="94" t="s">
        <v>58</v>
      </c>
      <c r="AG18" s="142" t="s">
        <v>59</v>
      </c>
      <c r="AH18" s="96" t="s">
        <v>60</v>
      </c>
    </row>
    <row r="19" spans="1:35" ht="15.75" thickBot="1" x14ac:dyDescent="0.3">
      <c r="A19" s="97" t="s">
        <v>78</v>
      </c>
      <c r="B19" s="143" t="s">
        <v>62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5"/>
      <c r="O19" s="146" t="s">
        <v>62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8"/>
      <c r="AB19" s="102"/>
      <c r="AC19" s="103"/>
      <c r="AD19" s="103"/>
      <c r="AE19" s="104"/>
      <c r="AF19" s="105"/>
      <c r="AG19" s="149"/>
      <c r="AH19" s="107"/>
      <c r="AI19" s="97" t="s">
        <v>78</v>
      </c>
    </row>
    <row r="20" spans="1:35" x14ac:dyDescent="0.25">
      <c r="A20" s="108" t="s">
        <v>79</v>
      </c>
      <c r="B20" s="110">
        <v>0.57999999999999996</v>
      </c>
      <c r="C20" s="150"/>
      <c r="D20" s="110"/>
      <c r="E20" s="110"/>
      <c r="F20" s="110"/>
      <c r="G20" s="109"/>
      <c r="H20" s="109"/>
      <c r="I20" s="109"/>
      <c r="J20" s="109"/>
      <c r="K20" s="109"/>
      <c r="L20" s="109"/>
      <c r="M20" s="109"/>
      <c r="N20" s="111"/>
      <c r="O20" s="151"/>
      <c r="P20" s="151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12"/>
      <c r="AB20" s="113">
        <f t="shared" ref="AB20:AB29" si="8">AVERAGE(B20:Z20)</f>
        <v>0.57999999999999996</v>
      </c>
      <c r="AC20" s="112">
        <f>(AB20*10)/[1]Percentage!A17</f>
        <v>2.8999999999999998E-2</v>
      </c>
      <c r="AD20" s="112">
        <f t="shared" ref="AD20:AD29" si="9">AB20+AC20</f>
        <v>0.60899999999999999</v>
      </c>
      <c r="AE20" s="114">
        <f>(AD20*25)+5</f>
        <v>20.225000000000001</v>
      </c>
      <c r="AF20" s="115">
        <f t="shared" si="2"/>
        <v>20</v>
      </c>
      <c r="AG20" s="152">
        <v>20</v>
      </c>
      <c r="AH20" s="117">
        <f t="shared" si="4"/>
        <v>0</v>
      </c>
      <c r="AI20" s="108" t="s">
        <v>79</v>
      </c>
    </row>
    <row r="21" spans="1:35" x14ac:dyDescent="0.25">
      <c r="A21" s="108" t="s">
        <v>80</v>
      </c>
      <c r="B21" s="109">
        <v>1.61</v>
      </c>
      <c r="C21" s="151">
        <v>1.86</v>
      </c>
      <c r="D21" s="109">
        <v>1.77</v>
      </c>
      <c r="E21" s="110"/>
      <c r="F21" s="110"/>
      <c r="G21" s="109"/>
      <c r="H21" s="109"/>
      <c r="I21" s="109"/>
      <c r="J21" s="109"/>
      <c r="K21" s="109"/>
      <c r="L21" s="109"/>
      <c r="M21" s="109"/>
      <c r="N21" s="111"/>
      <c r="O21" s="151"/>
      <c r="P21" s="151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12"/>
      <c r="AB21" s="113">
        <f t="shared" si="8"/>
        <v>1.7466666666666668</v>
      </c>
      <c r="AC21" s="112">
        <f>(AB21*10)/[1]Percentage!A18</f>
        <v>8.7333333333333346E-2</v>
      </c>
      <c r="AD21" s="112">
        <f t="shared" si="9"/>
        <v>1.8340000000000001</v>
      </c>
      <c r="AE21" s="114">
        <f t="shared" ref="AE21:AE29" si="10">(AD21*25)+5</f>
        <v>50.85</v>
      </c>
      <c r="AF21" s="118">
        <f t="shared" si="2"/>
        <v>50</v>
      </c>
      <c r="AG21" s="153">
        <v>39</v>
      </c>
      <c r="AH21" s="120">
        <f t="shared" si="4"/>
        <v>11</v>
      </c>
      <c r="AI21" s="108" t="s">
        <v>80</v>
      </c>
    </row>
    <row r="22" spans="1:35" x14ac:dyDescent="0.25">
      <c r="A22" s="108" t="s">
        <v>81</v>
      </c>
      <c r="B22" s="110"/>
      <c r="C22" s="151">
        <v>1.33</v>
      </c>
      <c r="D22" s="110"/>
      <c r="E22" s="150"/>
      <c r="F22" s="110"/>
      <c r="G22" s="109"/>
      <c r="H22" s="109"/>
      <c r="I22" s="109"/>
      <c r="J22" s="109"/>
      <c r="K22" s="109"/>
      <c r="L22" s="109"/>
      <c r="M22" s="109"/>
      <c r="N22" s="111"/>
      <c r="O22" s="151"/>
      <c r="P22" s="151"/>
      <c r="Q22" s="109"/>
      <c r="R22" s="151"/>
      <c r="S22" s="109"/>
      <c r="T22" s="109"/>
      <c r="U22" s="109"/>
      <c r="V22" s="109"/>
      <c r="W22" s="109"/>
      <c r="X22" s="109"/>
      <c r="Y22" s="109"/>
      <c r="Z22" s="109"/>
      <c r="AA22" s="112"/>
      <c r="AB22" s="113">
        <f t="shared" si="8"/>
        <v>1.33</v>
      </c>
      <c r="AC22" s="112">
        <f>(AB22*10)/[1]Percentage!A19</f>
        <v>6.6500000000000004E-2</v>
      </c>
      <c r="AD22" s="112">
        <f t="shared" si="9"/>
        <v>1.3965000000000001</v>
      </c>
      <c r="AE22" s="114">
        <f t="shared" si="10"/>
        <v>39.912500000000001</v>
      </c>
      <c r="AF22" s="118">
        <f t="shared" si="2"/>
        <v>39</v>
      </c>
      <c r="AG22" s="153">
        <v>28</v>
      </c>
      <c r="AH22" s="120">
        <f t="shared" si="4"/>
        <v>11</v>
      </c>
      <c r="AI22" s="108" t="s">
        <v>81</v>
      </c>
    </row>
    <row r="23" spans="1:35" x14ac:dyDescent="0.25">
      <c r="A23" s="108" t="s">
        <v>82</v>
      </c>
      <c r="B23" s="109">
        <v>0.78</v>
      </c>
      <c r="C23" s="151">
        <v>0.48</v>
      </c>
      <c r="D23" s="110"/>
      <c r="E23" s="150"/>
      <c r="F23" s="110"/>
      <c r="G23" s="109"/>
      <c r="H23" s="109"/>
      <c r="I23" s="109"/>
      <c r="J23" s="109"/>
      <c r="K23" s="109"/>
      <c r="L23" s="109"/>
      <c r="M23" s="109"/>
      <c r="N23" s="111"/>
      <c r="O23" s="151"/>
      <c r="P23" s="151"/>
      <c r="Q23" s="109"/>
      <c r="R23" s="151"/>
      <c r="S23" s="109"/>
      <c r="T23" s="109"/>
      <c r="U23" s="109"/>
      <c r="V23" s="109"/>
      <c r="W23" s="109"/>
      <c r="X23" s="109"/>
      <c r="Y23" s="109"/>
      <c r="Z23" s="109"/>
      <c r="AA23" s="112"/>
      <c r="AB23" s="113">
        <f t="shared" si="8"/>
        <v>0.63</v>
      </c>
      <c r="AC23" s="112">
        <f>(AB23*10)/[1]Percentage!A20</f>
        <v>3.15E-2</v>
      </c>
      <c r="AD23" s="112">
        <f t="shared" si="9"/>
        <v>0.66149999999999998</v>
      </c>
      <c r="AE23" s="114">
        <f t="shared" si="10"/>
        <v>21.537499999999998</v>
      </c>
      <c r="AF23" s="118">
        <f t="shared" si="2"/>
        <v>21</v>
      </c>
      <c r="AG23" s="153">
        <v>25</v>
      </c>
      <c r="AH23" s="120">
        <f t="shared" si="4"/>
        <v>-4</v>
      </c>
      <c r="AI23" s="108" t="s">
        <v>82</v>
      </c>
    </row>
    <row r="24" spans="1:35" x14ac:dyDescent="0.25">
      <c r="A24" s="108" t="s">
        <v>83</v>
      </c>
      <c r="B24" s="110">
        <v>0.8</v>
      </c>
      <c r="C24" s="150"/>
      <c r="D24" s="110"/>
      <c r="E24" s="150"/>
      <c r="F24" s="110"/>
      <c r="G24" s="109"/>
      <c r="H24" s="109"/>
      <c r="I24" s="109"/>
      <c r="J24" s="109"/>
      <c r="K24" s="109"/>
      <c r="L24" s="109"/>
      <c r="M24" s="109"/>
      <c r="N24" s="111"/>
      <c r="O24" s="151"/>
      <c r="P24" s="151"/>
      <c r="Q24" s="109"/>
      <c r="R24" s="151"/>
      <c r="S24" s="109"/>
      <c r="T24" s="109"/>
      <c r="U24" s="109"/>
      <c r="V24" s="109"/>
      <c r="W24" s="109"/>
      <c r="X24" s="109"/>
      <c r="Y24" s="109"/>
      <c r="Z24" s="109"/>
      <c r="AA24" s="112"/>
      <c r="AB24" s="113">
        <f t="shared" si="8"/>
        <v>0.8</v>
      </c>
      <c r="AC24" s="112">
        <f>(AB24*10)/[1]Percentage!A21</f>
        <v>0.04</v>
      </c>
      <c r="AD24" s="112">
        <f t="shared" si="9"/>
        <v>0.84000000000000008</v>
      </c>
      <c r="AE24" s="114">
        <f t="shared" si="10"/>
        <v>26.000000000000004</v>
      </c>
      <c r="AF24" s="118">
        <f t="shared" si="2"/>
        <v>26</v>
      </c>
      <c r="AG24" s="153">
        <v>25</v>
      </c>
      <c r="AH24" s="120">
        <f t="shared" si="4"/>
        <v>1</v>
      </c>
      <c r="AI24" s="108" t="s">
        <v>83</v>
      </c>
    </row>
    <row r="25" spans="1:35" x14ac:dyDescent="0.25">
      <c r="A25" s="108" t="s">
        <v>84</v>
      </c>
      <c r="B25" s="110">
        <v>1.1499999999999999</v>
      </c>
      <c r="C25" s="150"/>
      <c r="D25" s="110"/>
      <c r="E25" s="150"/>
      <c r="F25" s="110"/>
      <c r="G25" s="109"/>
      <c r="H25" s="109"/>
      <c r="I25" s="109"/>
      <c r="J25" s="109"/>
      <c r="K25" s="109"/>
      <c r="L25" s="109"/>
      <c r="M25" s="109"/>
      <c r="N25" s="111"/>
      <c r="O25" s="151"/>
      <c r="P25" s="151"/>
      <c r="Q25" s="109"/>
      <c r="R25" s="151"/>
      <c r="S25" s="109"/>
      <c r="T25" s="109"/>
      <c r="U25" s="109"/>
      <c r="V25" s="109"/>
      <c r="W25" s="109"/>
      <c r="X25" s="109"/>
      <c r="Y25" s="109"/>
      <c r="Z25" s="109"/>
      <c r="AA25" s="112"/>
      <c r="AB25" s="113">
        <f t="shared" si="8"/>
        <v>1.1499999999999999</v>
      </c>
      <c r="AC25" s="112">
        <f>(AB25*10)/[1]Percentage!A22</f>
        <v>5.7500000000000002E-2</v>
      </c>
      <c r="AD25" s="112">
        <f t="shared" si="9"/>
        <v>1.2075</v>
      </c>
      <c r="AE25" s="114">
        <f t="shared" si="10"/>
        <v>35.1875</v>
      </c>
      <c r="AF25" s="118">
        <f t="shared" si="2"/>
        <v>35</v>
      </c>
      <c r="AG25" s="153">
        <v>34</v>
      </c>
      <c r="AH25" s="120">
        <f t="shared" si="4"/>
        <v>1</v>
      </c>
      <c r="AI25" s="108" t="s">
        <v>84</v>
      </c>
    </row>
    <row r="26" spans="1:35" x14ac:dyDescent="0.25">
      <c r="A26" s="108" t="s">
        <v>85</v>
      </c>
      <c r="B26" s="109">
        <v>0.59</v>
      </c>
      <c r="C26" s="151">
        <v>0.62</v>
      </c>
      <c r="D26" s="109">
        <v>0.9</v>
      </c>
      <c r="E26" s="150"/>
      <c r="F26" s="110"/>
      <c r="G26" s="109"/>
      <c r="H26" s="109"/>
      <c r="I26" s="109"/>
      <c r="J26" s="109"/>
      <c r="K26" s="109"/>
      <c r="L26" s="109"/>
      <c r="M26" s="109"/>
      <c r="N26" s="111"/>
      <c r="O26" s="151"/>
      <c r="P26" s="151"/>
      <c r="Q26" s="109"/>
      <c r="R26" s="151"/>
      <c r="S26" s="109"/>
      <c r="T26" s="109"/>
      <c r="U26" s="109"/>
      <c r="V26" s="109"/>
      <c r="W26" s="109"/>
      <c r="X26" s="109"/>
      <c r="Y26" s="109"/>
      <c r="Z26" s="109"/>
      <c r="AA26" s="112"/>
      <c r="AB26" s="113">
        <f t="shared" si="8"/>
        <v>0.70333333333333325</v>
      </c>
      <c r="AC26" s="112">
        <f>(AB26*10)/[1]Percentage!A23</f>
        <v>3.5166666666666659E-2</v>
      </c>
      <c r="AD26" s="112">
        <f t="shared" si="9"/>
        <v>0.73849999999999993</v>
      </c>
      <c r="AE26" s="114">
        <f t="shared" si="10"/>
        <v>23.462499999999999</v>
      </c>
      <c r="AF26" s="118">
        <f t="shared" si="2"/>
        <v>23</v>
      </c>
      <c r="AG26" s="153">
        <v>27</v>
      </c>
      <c r="AH26" s="120">
        <f t="shared" si="4"/>
        <v>-4</v>
      </c>
      <c r="AI26" s="108" t="s">
        <v>85</v>
      </c>
    </row>
    <row r="27" spans="1:35" x14ac:dyDescent="0.25">
      <c r="A27" s="108" t="s">
        <v>86</v>
      </c>
      <c r="B27" s="110">
        <v>0.86</v>
      </c>
      <c r="C27" s="150"/>
      <c r="D27" s="110"/>
      <c r="E27" s="150"/>
      <c r="F27" s="110"/>
      <c r="G27" s="109"/>
      <c r="H27" s="109"/>
      <c r="I27" s="109"/>
      <c r="J27" s="109"/>
      <c r="K27" s="109"/>
      <c r="L27" s="109"/>
      <c r="M27" s="109"/>
      <c r="N27" s="111"/>
      <c r="O27" s="151"/>
      <c r="P27" s="151"/>
      <c r="Q27" s="109"/>
      <c r="R27" s="151"/>
      <c r="S27" s="109"/>
      <c r="T27" s="109"/>
      <c r="U27" s="109"/>
      <c r="V27" s="109"/>
      <c r="W27" s="109"/>
      <c r="X27" s="109"/>
      <c r="Y27" s="109"/>
      <c r="Z27" s="109"/>
      <c r="AA27" s="112"/>
      <c r="AB27" s="113">
        <f t="shared" si="8"/>
        <v>0.86</v>
      </c>
      <c r="AC27" s="112">
        <f>(AB27*10)/[1]Percentage!A24</f>
        <v>4.2999999999999997E-2</v>
      </c>
      <c r="AD27" s="112">
        <f t="shared" si="9"/>
        <v>0.90300000000000002</v>
      </c>
      <c r="AE27" s="114">
        <f t="shared" si="10"/>
        <v>27.574999999999999</v>
      </c>
      <c r="AF27" s="118">
        <f t="shared" si="2"/>
        <v>27</v>
      </c>
      <c r="AG27" s="153">
        <v>26</v>
      </c>
      <c r="AH27" s="120">
        <f t="shared" si="4"/>
        <v>1</v>
      </c>
      <c r="AI27" s="108" t="s">
        <v>86</v>
      </c>
    </row>
    <row r="28" spans="1:35" x14ac:dyDescent="0.25">
      <c r="A28" s="108" t="s">
        <v>87</v>
      </c>
      <c r="B28" s="110">
        <v>1.85</v>
      </c>
      <c r="C28" s="150"/>
      <c r="D28" s="110"/>
      <c r="E28" s="150"/>
      <c r="F28" s="110"/>
      <c r="G28" s="109"/>
      <c r="H28" s="109"/>
      <c r="I28" s="109"/>
      <c r="J28" s="109"/>
      <c r="K28" s="109"/>
      <c r="L28" s="109"/>
      <c r="M28" s="109"/>
      <c r="N28" s="111"/>
      <c r="O28" s="151"/>
      <c r="P28" s="151"/>
      <c r="Q28" s="109"/>
      <c r="R28" s="151"/>
      <c r="S28" s="109"/>
      <c r="T28" s="109"/>
      <c r="U28" s="109"/>
      <c r="V28" s="109"/>
      <c r="W28" s="109"/>
      <c r="X28" s="109"/>
      <c r="Y28" s="109"/>
      <c r="Z28" s="109"/>
      <c r="AA28" s="112"/>
      <c r="AB28" s="113">
        <f t="shared" si="8"/>
        <v>1.85</v>
      </c>
      <c r="AC28" s="112">
        <f>(AB28*10)/[1]Percentage!A25</f>
        <v>9.2499999999999999E-2</v>
      </c>
      <c r="AD28" s="112">
        <f t="shared" si="9"/>
        <v>1.9425000000000001</v>
      </c>
      <c r="AE28" s="114">
        <f t="shared" si="10"/>
        <v>53.5625</v>
      </c>
      <c r="AF28" s="118">
        <f t="shared" si="2"/>
        <v>53</v>
      </c>
      <c r="AG28" s="153">
        <v>53</v>
      </c>
      <c r="AH28" s="120">
        <f t="shared" si="4"/>
        <v>0</v>
      </c>
      <c r="AI28" s="108" t="s">
        <v>87</v>
      </c>
    </row>
    <row r="29" spans="1:35" x14ac:dyDescent="0.25">
      <c r="A29" s="108" t="s">
        <v>88</v>
      </c>
      <c r="B29" s="110">
        <v>0.72</v>
      </c>
      <c r="C29" s="150"/>
      <c r="D29" s="110"/>
      <c r="E29" s="110"/>
      <c r="F29" s="110"/>
      <c r="G29" s="109"/>
      <c r="H29" s="109"/>
      <c r="I29" s="109"/>
      <c r="J29" s="109"/>
      <c r="K29" s="109"/>
      <c r="L29" s="109"/>
      <c r="M29" s="109"/>
      <c r="N29" s="111"/>
      <c r="O29" s="151"/>
      <c r="P29" s="151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12"/>
      <c r="AB29" s="113">
        <f t="shared" si="8"/>
        <v>0.72</v>
      </c>
      <c r="AC29" s="112">
        <f>(AB29*10)/[1]Percentage!A26</f>
        <v>3.5999999999999997E-2</v>
      </c>
      <c r="AD29" s="112">
        <f t="shared" si="9"/>
        <v>0.75600000000000001</v>
      </c>
      <c r="AE29" s="114">
        <f t="shared" si="10"/>
        <v>23.9</v>
      </c>
      <c r="AF29" s="118">
        <f t="shared" si="2"/>
        <v>23</v>
      </c>
      <c r="AG29" s="153">
        <v>23</v>
      </c>
      <c r="AH29" s="120">
        <f t="shared" si="4"/>
        <v>0</v>
      </c>
      <c r="AI29" s="108" t="s">
        <v>88</v>
      </c>
    </row>
    <row r="30" spans="1:35" x14ac:dyDescent="0.25">
      <c r="B30" s="134"/>
      <c r="C30" s="134"/>
      <c r="D30" s="135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6"/>
      <c r="AC30" s="137"/>
      <c r="AD30" s="137"/>
      <c r="AE30" s="138"/>
      <c r="AF30" s="139"/>
      <c r="AG30" s="140"/>
    </row>
    <row r="31" spans="1:35" x14ac:dyDescent="0.25">
      <c r="B31" s="134"/>
      <c r="C31" s="134"/>
      <c r="D31" s="135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6"/>
      <c r="AC31" s="137"/>
      <c r="AD31" s="137"/>
      <c r="AE31" s="138"/>
      <c r="AF31" s="139"/>
      <c r="AG31" s="140"/>
    </row>
    <row r="32" spans="1:35" x14ac:dyDescent="0.25">
      <c r="B32" s="134">
        <v>1.1499999999999999</v>
      </c>
      <c r="C32" s="134">
        <f>B32*25+5</f>
        <v>33.75</v>
      </c>
      <c r="D32" s="135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6"/>
      <c r="AC32" s="137"/>
      <c r="AD32" s="137"/>
      <c r="AE32" s="138"/>
      <c r="AF32" s="139"/>
      <c r="AG32" s="140"/>
    </row>
  </sheetData>
  <mergeCells count="20">
    <mergeCell ref="AG18:AG19"/>
    <mergeCell ref="AH18:AH19"/>
    <mergeCell ref="B19:N19"/>
    <mergeCell ref="O19:Z19"/>
    <mergeCell ref="AH1:AH2"/>
    <mergeCell ref="B2:N2"/>
    <mergeCell ref="O2:Z2"/>
    <mergeCell ref="B9:N9"/>
    <mergeCell ref="O9:Z9"/>
    <mergeCell ref="AB18:AB19"/>
    <mergeCell ref="AC18:AC19"/>
    <mergeCell ref="AD18:AD19"/>
    <mergeCell ref="AE18:AE19"/>
    <mergeCell ref="AF18:AF19"/>
    <mergeCell ref="AB1:AB2"/>
    <mergeCell ref="AC1:AC2"/>
    <mergeCell ref="AD1:AD2"/>
    <mergeCell ref="AE1:AE2"/>
    <mergeCell ref="AF1:AF2"/>
    <mergeCell ref="AG1:AG2"/>
  </mergeCells>
  <conditionalFormatting sqref="AH3:AH1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H20:AH2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1ste helf</vt:lpstr>
      <vt:lpstr>2de Helf</vt:lpstr>
      <vt:lpstr>uitslag en stand</vt:lpstr>
      <vt:lpstr>carb volgend jaar</vt:lpstr>
      <vt:lpstr>Rijen_1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</dc:creator>
  <cp:lastModifiedBy>Frank de Laat</cp:lastModifiedBy>
  <cp:lastPrinted>2026-05-15T11:24:42Z</cp:lastPrinted>
  <dcterms:created xsi:type="dcterms:W3CDTF">2021-08-17T21:21:46Z</dcterms:created>
  <dcterms:modified xsi:type="dcterms:W3CDTF">2026-10-12T14:46:57Z</dcterms:modified>
</cp:coreProperties>
</file>